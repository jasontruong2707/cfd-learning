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E:\CFD_blog\cfd-learning\F-foundations\F01-conservation-of-mass\"/>
    </mc:Choice>
  </mc:AlternateContent>
  <xr:revisionPtr revIDLastSave="0" documentId="13_ncr:1_{E6B184C6-6439-40E6-9AA2-03637040F3F8}" xr6:coauthVersionLast="47" xr6:coauthVersionMax="47" xr10:uidLastSave="{00000000-0000-0000-0000-000000000000}"/>
  <bookViews>
    <workbookView xWindow="2730" yWindow="2730" windowWidth="20310" windowHeight="10230" xr2:uid="{00000000-000D-0000-FFFF-FFFF00000000}"/>
  </bookViews>
  <sheets>
    <sheet name="Inputs" sheetId="1" r:id="rId1"/>
    <sheet name="Solver" sheetId="2" r:id="rId2"/>
    <sheet name="Analytical" sheetId="3" r:id="rId3"/>
    <sheet name="Error" sheetId="4" r:id="rId4"/>
    <sheet name="Plots" sheetId="5" r:id="rId5"/>
  </sheets>
  <definedNames>
    <definedName name="DA">Solver!$D$64:$X$84</definedName>
    <definedName name="DB">Solver!$D$148:$X$168</definedName>
    <definedName name="dx">Inputs!$B$9</definedName>
    <definedName name="dx_2">Inputs!$B$23</definedName>
    <definedName name="dx_3">Inputs!$B$22</definedName>
    <definedName name="err_2">Error!$D$133:$X$153</definedName>
    <definedName name="err_3">Error!$D$189:$X$209</definedName>
    <definedName name="errA">Error!$D$49:$X$69</definedName>
    <definedName name="errB">Error!$D$77:$X$97</definedName>
    <definedName name="ia">Inputs!$B$13</definedName>
    <definedName name="ib">Inputs!$B$14</definedName>
    <definedName name="ja">Inputs!$B$15</definedName>
    <definedName name="jb">Inputs!$B$16</definedName>
    <definedName name="L">Inputs!$B$5</definedName>
    <definedName name="N">Inputs!$B$6</definedName>
    <definedName name="N_2">Inputs!$B$21</definedName>
    <definedName name="N_3">Inputs!$B$20</definedName>
    <definedName name="rho">Inputs!$B$8</definedName>
    <definedName name="U0">Inputs!$B$7</definedName>
    <definedName name="uA">Solver!$D$8:$X$28</definedName>
    <definedName name="uB">Solver!$D$92:$X$112</definedName>
    <definedName name="vA">Solver!$D$36:$X$56</definedName>
    <definedName name="vB">Solver!$D$120:$X$140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09" i="4" l="1"/>
  <c r="B208" i="4"/>
  <c r="B207" i="4"/>
  <c r="B206" i="4"/>
  <c r="B205" i="4"/>
  <c r="B204" i="4"/>
  <c r="B203" i="4"/>
  <c r="B202" i="4"/>
  <c r="B201" i="4"/>
  <c r="B200" i="4"/>
  <c r="B199" i="4"/>
  <c r="B198" i="4"/>
  <c r="B197" i="4"/>
  <c r="B196" i="4"/>
  <c r="B195" i="4"/>
  <c r="X187" i="4"/>
  <c r="W187" i="4"/>
  <c r="V187" i="4"/>
  <c r="U187" i="4"/>
  <c r="T187" i="4"/>
  <c r="S187" i="4"/>
  <c r="R187" i="4"/>
  <c r="Q187" i="4"/>
  <c r="P187" i="4"/>
  <c r="O187" i="4"/>
  <c r="N187" i="4"/>
  <c r="M187" i="4"/>
  <c r="L187" i="4"/>
  <c r="K187" i="4"/>
  <c r="J187" i="4"/>
  <c r="U181" i="4"/>
  <c r="U209" i="4" s="1"/>
  <c r="B181" i="4"/>
  <c r="B180" i="4"/>
  <c r="B179" i="4"/>
  <c r="B178" i="4"/>
  <c r="B177" i="4"/>
  <c r="B176" i="4"/>
  <c r="O177" i="4" s="1"/>
  <c r="O205" i="4" s="1"/>
  <c r="O175" i="4"/>
  <c r="O203" i="4" s="1"/>
  <c r="B175" i="4"/>
  <c r="B174" i="4"/>
  <c r="B173" i="4"/>
  <c r="B172" i="4"/>
  <c r="B171" i="4"/>
  <c r="B170" i="4"/>
  <c r="U171" i="4" s="1"/>
  <c r="U199" i="4" s="1"/>
  <c r="B169" i="4"/>
  <c r="B168" i="4"/>
  <c r="B167" i="4"/>
  <c r="X159" i="4"/>
  <c r="W159" i="4"/>
  <c r="X173" i="4" s="1"/>
  <c r="X201" i="4" s="1"/>
  <c r="V159" i="4"/>
  <c r="U159" i="4"/>
  <c r="T159" i="4"/>
  <c r="S159" i="4"/>
  <c r="R159" i="4"/>
  <c r="Q159" i="4"/>
  <c r="P159" i="4"/>
  <c r="O159" i="4"/>
  <c r="P177" i="4" s="1"/>
  <c r="P205" i="4" s="1"/>
  <c r="N159" i="4"/>
  <c r="M159" i="4"/>
  <c r="N179" i="4" s="1"/>
  <c r="N207" i="4" s="1"/>
  <c r="L159" i="4"/>
  <c r="M179" i="4" s="1"/>
  <c r="M207" i="4" s="1"/>
  <c r="K159" i="4"/>
  <c r="L175" i="4" s="1"/>
  <c r="L203" i="4" s="1"/>
  <c r="J159" i="4"/>
  <c r="K173" i="4" s="1"/>
  <c r="K201" i="4" s="1"/>
  <c r="B153" i="4"/>
  <c r="B152" i="4"/>
  <c r="B151" i="4"/>
  <c r="B150" i="4"/>
  <c r="B149" i="4"/>
  <c r="B148" i="4"/>
  <c r="B147" i="4"/>
  <c r="B146" i="4"/>
  <c r="B145" i="4"/>
  <c r="B144" i="4"/>
  <c r="X131" i="4"/>
  <c r="W131" i="4"/>
  <c r="V131" i="4"/>
  <c r="U131" i="4"/>
  <c r="T131" i="4"/>
  <c r="S131" i="4"/>
  <c r="R131" i="4"/>
  <c r="Q131" i="4"/>
  <c r="P131" i="4"/>
  <c r="O131" i="4"/>
  <c r="B125" i="4"/>
  <c r="B124" i="4"/>
  <c r="B123" i="4"/>
  <c r="B122" i="4"/>
  <c r="X123" i="4" s="1"/>
  <c r="X151" i="4" s="1"/>
  <c r="B121" i="4"/>
  <c r="B120" i="4"/>
  <c r="U121" i="4" s="1"/>
  <c r="U149" i="4" s="1"/>
  <c r="B119" i="4"/>
  <c r="B118" i="4"/>
  <c r="B117" i="4"/>
  <c r="B116" i="4"/>
  <c r="X103" i="4"/>
  <c r="W103" i="4"/>
  <c r="X125" i="4" s="1"/>
  <c r="X153" i="4" s="1"/>
  <c r="V103" i="4"/>
  <c r="U103" i="4"/>
  <c r="T103" i="4"/>
  <c r="U117" i="4" s="1"/>
  <c r="U145" i="4" s="1"/>
  <c r="S103" i="4"/>
  <c r="T118" i="4" s="1"/>
  <c r="T146" i="4" s="1"/>
  <c r="R103" i="4"/>
  <c r="Q103" i="4"/>
  <c r="P103" i="4"/>
  <c r="Q125" i="4" s="1"/>
  <c r="Q153" i="4" s="1"/>
  <c r="O103" i="4"/>
  <c r="A22" i="4"/>
  <c r="A21" i="4"/>
  <c r="A20" i="4"/>
  <c r="B49" i="2"/>
  <c r="B41" i="2"/>
  <c r="X34" i="2"/>
  <c r="V34" i="2"/>
  <c r="B14" i="2"/>
  <c r="B11" i="2"/>
  <c r="W6" i="2"/>
  <c r="B23" i="1"/>
  <c r="B22" i="1"/>
  <c r="B17" i="1"/>
  <c r="B9" i="1"/>
  <c r="R62" i="2" s="1"/>
  <c r="T121" i="4" l="1"/>
  <c r="T149" i="4" s="1"/>
  <c r="B21" i="2"/>
  <c r="V121" i="4"/>
  <c r="V149" i="4" s="1"/>
  <c r="B22" i="2"/>
  <c r="W171" i="4"/>
  <c r="W199" i="4" s="1"/>
  <c r="N172" i="4"/>
  <c r="N200" i="4" s="1"/>
  <c r="L178" i="4"/>
  <c r="L206" i="4" s="1"/>
  <c r="K177" i="4"/>
  <c r="K205" i="4" s="1"/>
  <c r="O176" i="4"/>
  <c r="O204" i="4" s="1"/>
  <c r="U124" i="4"/>
  <c r="U152" i="4" s="1"/>
  <c r="W120" i="4"/>
  <c r="W148" i="4" s="1"/>
  <c r="J6" i="2"/>
  <c r="J14" i="2" s="1"/>
  <c r="W124" i="4"/>
  <c r="W152" i="4" s="1"/>
  <c r="O179" i="4"/>
  <c r="O207" i="4" s="1"/>
  <c r="B16" i="2"/>
  <c r="O16" i="2" s="1"/>
  <c r="L177" i="4"/>
  <c r="L205" i="4" s="1"/>
  <c r="P176" i="4"/>
  <c r="P204" i="4" s="1"/>
  <c r="B81" i="2"/>
  <c r="L6" i="2"/>
  <c r="G34" i="2"/>
  <c r="B12" i="3"/>
  <c r="Q117" i="4"/>
  <c r="Q145" i="4" s="1"/>
  <c r="P179" i="4"/>
  <c r="P207" i="4" s="1"/>
  <c r="E62" i="2"/>
  <c r="W122" i="4"/>
  <c r="W150" i="4" s="1"/>
  <c r="M6" i="2"/>
  <c r="M14" i="2" s="1"/>
  <c r="H34" i="2"/>
  <c r="X121" i="4"/>
  <c r="X149" i="4" s="1"/>
  <c r="D62" i="2"/>
  <c r="M177" i="4"/>
  <c r="M205" i="4" s="1"/>
  <c r="Q62" i="2"/>
  <c r="W123" i="4"/>
  <c r="W151" i="4" s="1"/>
  <c r="B24" i="2"/>
  <c r="J24" i="2" s="1"/>
  <c r="H90" i="2"/>
  <c r="B111" i="2"/>
  <c r="N6" i="2"/>
  <c r="N14" i="2" s="1"/>
  <c r="I34" i="2"/>
  <c r="N180" i="4"/>
  <c r="N208" i="4" s="1"/>
  <c r="U49" i="2"/>
  <c r="P171" i="4"/>
  <c r="P199" i="4" s="1"/>
  <c r="B19" i="2"/>
  <c r="N19" i="2" s="1"/>
  <c r="I6" i="2"/>
  <c r="I24" i="2" s="1"/>
  <c r="O174" i="4"/>
  <c r="O202" i="4" s="1"/>
  <c r="K6" i="2"/>
  <c r="K27" i="2" s="1"/>
  <c r="O6" i="2"/>
  <c r="O27" i="2" s="1"/>
  <c r="T34" i="2"/>
  <c r="T41" i="2" s="1"/>
  <c r="X118" i="4"/>
  <c r="X146" i="4" s="1"/>
  <c r="P180" i="4"/>
  <c r="P208" i="4" s="1"/>
  <c r="G90" i="2"/>
  <c r="B27" i="2"/>
  <c r="N27" i="2" s="1"/>
  <c r="F34" i="2"/>
  <c r="Q6" i="2"/>
  <c r="Q21" i="2" s="1"/>
  <c r="U34" i="2"/>
  <c r="N175" i="4"/>
  <c r="N203" i="4" s="1"/>
  <c r="O180" i="4"/>
  <c r="O208" i="4" s="1"/>
  <c r="N16" i="2"/>
  <c r="J16" i="2"/>
  <c r="W16" i="2"/>
  <c r="L27" i="2"/>
  <c r="W27" i="2"/>
  <c r="U27" i="2"/>
  <c r="O24" i="2"/>
  <c r="N24" i="2"/>
  <c r="L24" i="2"/>
  <c r="K24" i="2"/>
  <c r="B84" i="2"/>
  <c r="I41" i="2"/>
  <c r="X41" i="2"/>
  <c r="H41" i="2"/>
  <c r="G41" i="2"/>
  <c r="V41" i="2"/>
  <c r="F41" i="2"/>
  <c r="L14" i="2"/>
  <c r="W14" i="2"/>
  <c r="K14" i="2"/>
  <c r="N21" i="2"/>
  <c r="L21" i="2"/>
  <c r="K21" i="2"/>
  <c r="J21" i="2"/>
  <c r="O22" i="2"/>
  <c r="Q27" i="2"/>
  <c r="B71" i="2"/>
  <c r="F90" i="2"/>
  <c r="F111" i="2" s="1"/>
  <c r="O11" i="2"/>
  <c r="O19" i="2"/>
  <c r="B13" i="2"/>
  <c r="W34" i="2"/>
  <c r="W41" i="2" s="1"/>
  <c r="B38" i="2"/>
  <c r="F62" i="2"/>
  <c r="J90" i="2"/>
  <c r="J111" i="2" s="1"/>
  <c r="B9" i="2"/>
  <c r="Q14" i="2"/>
  <c r="B36" i="2"/>
  <c r="U41" i="2"/>
  <c r="B46" i="2"/>
  <c r="L22" i="2"/>
  <c r="K22" i="2"/>
  <c r="W22" i="2"/>
  <c r="X75" i="4"/>
  <c r="H75" i="4"/>
  <c r="B68" i="4"/>
  <c r="B60" i="4"/>
  <c r="B52" i="4"/>
  <c r="K47" i="4"/>
  <c r="B96" i="4"/>
  <c r="B90" i="4"/>
  <c r="B82" i="4"/>
  <c r="W75" i="4"/>
  <c r="G75" i="4"/>
  <c r="J47" i="4"/>
  <c r="V75" i="4"/>
  <c r="F75" i="4"/>
  <c r="B65" i="4"/>
  <c r="B57" i="4"/>
  <c r="B49" i="4"/>
  <c r="I47" i="4"/>
  <c r="B95" i="4"/>
  <c r="B87" i="4"/>
  <c r="B79" i="4"/>
  <c r="U75" i="4"/>
  <c r="E75" i="4"/>
  <c r="T75" i="4"/>
  <c r="D75" i="4"/>
  <c r="B62" i="4"/>
  <c r="B92" i="4"/>
  <c r="B84" i="4"/>
  <c r="S75" i="4"/>
  <c r="R75" i="4"/>
  <c r="B67" i="4"/>
  <c r="B59" i="4"/>
  <c r="B89" i="4"/>
  <c r="B81" i="4"/>
  <c r="Q75" i="4"/>
  <c r="B94" i="4"/>
  <c r="B86" i="4"/>
  <c r="B78" i="4"/>
  <c r="O75" i="4"/>
  <c r="B91" i="4"/>
  <c r="B83" i="4"/>
  <c r="M75" i="4"/>
  <c r="B88" i="4"/>
  <c r="P75" i="4"/>
  <c r="N47" i="4"/>
  <c r="J34" i="3"/>
  <c r="B22" i="3"/>
  <c r="B14" i="3"/>
  <c r="M6" i="3"/>
  <c r="B85" i="4"/>
  <c r="N75" i="4"/>
  <c r="B54" i="4"/>
  <c r="B53" i="4"/>
  <c r="M47" i="4"/>
  <c r="B52" i="3"/>
  <c r="B44" i="3"/>
  <c r="B36" i="3"/>
  <c r="I34" i="3"/>
  <c r="L75" i="4"/>
  <c r="B51" i="4"/>
  <c r="L47" i="4"/>
  <c r="X34" i="3"/>
  <c r="H34" i="3"/>
  <c r="B27" i="3"/>
  <c r="B19" i="3"/>
  <c r="B11" i="3"/>
  <c r="K75" i="4"/>
  <c r="B56" i="4"/>
  <c r="H47" i="4"/>
  <c r="B49" i="3"/>
  <c r="B41" i="3"/>
  <c r="W34" i="3"/>
  <c r="G34" i="3"/>
  <c r="J75" i="4"/>
  <c r="B61" i="4"/>
  <c r="B55" i="4"/>
  <c r="G47" i="4"/>
  <c r="V34" i="3"/>
  <c r="F34" i="3"/>
  <c r="B24" i="3"/>
  <c r="B16" i="3"/>
  <c r="B97" i="4"/>
  <c r="B80" i="4"/>
  <c r="I75" i="4"/>
  <c r="B50" i="4"/>
  <c r="F47" i="4"/>
  <c r="X47" i="4"/>
  <c r="E47" i="4"/>
  <c r="T34" i="3"/>
  <c r="W47" i="4"/>
  <c r="D47" i="4"/>
  <c r="B51" i="3"/>
  <c r="B43" i="3"/>
  <c r="S34" i="3"/>
  <c r="B66" i="4"/>
  <c r="V47" i="4"/>
  <c r="U47" i="4"/>
  <c r="B56" i="3"/>
  <c r="B48" i="3"/>
  <c r="B40" i="3"/>
  <c r="S47" i="4"/>
  <c r="B53" i="3"/>
  <c r="B45" i="3"/>
  <c r="B37" i="3"/>
  <c r="O34" i="3"/>
  <c r="B69" i="4"/>
  <c r="B63" i="4"/>
  <c r="B77" i="4"/>
  <c r="O47" i="4"/>
  <c r="B55" i="3"/>
  <c r="B47" i="3"/>
  <c r="U34" i="3"/>
  <c r="S6" i="3"/>
  <c r="S12" i="3" s="1"/>
  <c r="B166" i="2"/>
  <c r="T47" i="4"/>
  <c r="R34" i="3"/>
  <c r="R6" i="3"/>
  <c r="R12" i="3" s="1"/>
  <c r="T146" i="2"/>
  <c r="D146" i="2"/>
  <c r="B133" i="2"/>
  <c r="B125" i="2"/>
  <c r="W118" i="2"/>
  <c r="B64" i="4"/>
  <c r="R47" i="4"/>
  <c r="B39" i="3"/>
  <c r="Q34" i="3"/>
  <c r="Q6" i="3"/>
  <c r="Q12" i="3" s="1"/>
  <c r="B163" i="2"/>
  <c r="B155" i="2"/>
  <c r="S146" i="2"/>
  <c r="V118" i="2"/>
  <c r="F118" i="2"/>
  <c r="Q47" i="4"/>
  <c r="B54" i="3"/>
  <c r="P34" i="3"/>
  <c r="P6" i="3"/>
  <c r="R146" i="2"/>
  <c r="B138" i="2"/>
  <c r="B130" i="2"/>
  <c r="P47" i="4"/>
  <c r="N34" i="3"/>
  <c r="B10" i="3"/>
  <c r="O6" i="3"/>
  <c r="O12" i="3" s="1"/>
  <c r="B168" i="2"/>
  <c r="B160" i="2"/>
  <c r="B152" i="2"/>
  <c r="Q146" i="2"/>
  <c r="M34" i="3"/>
  <c r="N6" i="3"/>
  <c r="P146" i="2"/>
  <c r="B135" i="2"/>
  <c r="B22" i="4"/>
  <c r="B42" i="3"/>
  <c r="L34" i="3"/>
  <c r="B28" i="3"/>
  <c r="B18" i="3"/>
  <c r="B15" i="3"/>
  <c r="L6" i="3"/>
  <c r="B165" i="2"/>
  <c r="B157" i="2"/>
  <c r="B149" i="2"/>
  <c r="O146" i="2"/>
  <c r="K34" i="3"/>
  <c r="B17" i="3"/>
  <c r="K6" i="3"/>
  <c r="K12" i="3" s="1"/>
  <c r="N146" i="2"/>
  <c r="E34" i="3"/>
  <c r="B9" i="3"/>
  <c r="J6" i="3"/>
  <c r="B162" i="2"/>
  <c r="B154" i="2"/>
  <c r="M146" i="2"/>
  <c r="D34" i="3"/>
  <c r="B21" i="3"/>
  <c r="B20" i="3"/>
  <c r="I6" i="3"/>
  <c r="B93" i="4"/>
  <c r="B23" i="3"/>
  <c r="W6" i="3"/>
  <c r="F6" i="3"/>
  <c r="B50" i="3"/>
  <c r="B26" i="3"/>
  <c r="B25" i="3"/>
  <c r="T6" i="3"/>
  <c r="B38" i="3"/>
  <c r="B158" i="2"/>
  <c r="B156" i="2"/>
  <c r="T118" i="2"/>
  <c r="B110" i="2"/>
  <c r="B102" i="2"/>
  <c r="B94" i="2"/>
  <c r="U90" i="2"/>
  <c r="U111" i="2" s="1"/>
  <c r="E90" i="2"/>
  <c r="E111" i="2" s="1"/>
  <c r="B151" i="2"/>
  <c r="S118" i="2"/>
  <c r="T90" i="2"/>
  <c r="D90" i="2"/>
  <c r="B77" i="2"/>
  <c r="R118" i="2"/>
  <c r="B107" i="2"/>
  <c r="B99" i="2"/>
  <c r="S90" i="2"/>
  <c r="S111" i="2" s="1"/>
  <c r="B148" i="2"/>
  <c r="B123" i="2"/>
  <c r="Q118" i="2"/>
  <c r="R90" i="2"/>
  <c r="R111" i="2" s="1"/>
  <c r="X146" i="2"/>
  <c r="B134" i="2"/>
  <c r="B132" i="2"/>
  <c r="P118" i="2"/>
  <c r="B112" i="2"/>
  <c r="B104" i="2"/>
  <c r="B96" i="2"/>
  <c r="Q90" i="2"/>
  <c r="Q111" i="2" s="1"/>
  <c r="B13" i="3"/>
  <c r="B159" i="2"/>
  <c r="W146" i="2"/>
  <c r="B131" i="2"/>
  <c r="B122" i="2"/>
  <c r="O118" i="2"/>
  <c r="V146" i="2"/>
  <c r="B139" i="2"/>
  <c r="B129" i="2"/>
  <c r="N118" i="2"/>
  <c r="B109" i="2"/>
  <c r="B58" i="4"/>
  <c r="B8" i="3"/>
  <c r="B161" i="2"/>
  <c r="U146" i="2"/>
  <c r="M118" i="2"/>
  <c r="B46" i="3"/>
  <c r="X6" i="3"/>
  <c r="L146" i="2"/>
  <c r="B140" i="2"/>
  <c r="L118" i="2"/>
  <c r="B106" i="2"/>
  <c r="V6" i="3"/>
  <c r="V12" i="3" s="1"/>
  <c r="B167" i="2"/>
  <c r="K146" i="2"/>
  <c r="B128" i="2"/>
  <c r="B127" i="2"/>
  <c r="H6" i="3"/>
  <c r="I146" i="2"/>
  <c r="E6" i="3"/>
  <c r="E12" i="3" s="1"/>
  <c r="G146" i="2"/>
  <c r="B137" i="2"/>
  <c r="B120" i="2"/>
  <c r="G118" i="2"/>
  <c r="B164" i="2"/>
  <c r="B150" i="2"/>
  <c r="E146" i="2"/>
  <c r="B126" i="2"/>
  <c r="B92" i="2"/>
  <c r="P62" i="2"/>
  <c r="B51" i="2"/>
  <c r="B43" i="2"/>
  <c r="S34" i="2"/>
  <c r="S41" i="2" s="1"/>
  <c r="V6" i="2"/>
  <c r="V14" i="2" s="1"/>
  <c r="F6" i="2"/>
  <c r="F24" i="2" s="1"/>
  <c r="B23" i="2"/>
  <c r="B15" i="2"/>
  <c r="S6" i="2"/>
  <c r="S27" i="2" s="1"/>
  <c r="U6" i="3"/>
  <c r="B101" i="2"/>
  <c r="X90" i="2"/>
  <c r="B76" i="2"/>
  <c r="B65" i="2"/>
  <c r="O62" i="2"/>
  <c r="R34" i="2"/>
  <c r="R41" i="2" s="1"/>
  <c r="B26" i="2"/>
  <c r="B18" i="2"/>
  <c r="B10" i="2"/>
  <c r="U6" i="2"/>
  <c r="U24" i="2" s="1"/>
  <c r="E6" i="2"/>
  <c r="E21" i="2" s="1"/>
  <c r="P34" i="2"/>
  <c r="P41" i="2" s="1"/>
  <c r="G6" i="3"/>
  <c r="B136" i="2"/>
  <c r="X118" i="2"/>
  <c r="B105" i="2"/>
  <c r="B95" i="2"/>
  <c r="W90" i="2"/>
  <c r="W111" i="2" s="1"/>
  <c r="N62" i="2"/>
  <c r="B56" i="2"/>
  <c r="B48" i="2"/>
  <c r="B40" i="2"/>
  <c r="Q34" i="2"/>
  <c r="Q41" i="2" s="1"/>
  <c r="T6" i="2"/>
  <c r="T16" i="2" s="1"/>
  <c r="D6" i="2"/>
  <c r="D6" i="3"/>
  <c r="D12" i="3" s="1"/>
  <c r="U118" i="2"/>
  <c r="V90" i="2"/>
  <c r="V111" i="2" s="1"/>
  <c r="B70" i="2"/>
  <c r="M62" i="2"/>
  <c r="K118" i="2"/>
  <c r="P90" i="2"/>
  <c r="B75" i="2"/>
  <c r="L62" i="2"/>
  <c r="B53" i="2"/>
  <c r="B45" i="2"/>
  <c r="B37" i="2"/>
  <c r="O34" i="2"/>
  <c r="O49" i="2" s="1"/>
  <c r="R6" i="2"/>
  <c r="R27" i="2" s="1"/>
  <c r="J146" i="2"/>
  <c r="J118" i="2"/>
  <c r="O90" i="2"/>
  <c r="O111" i="2" s="1"/>
  <c r="B74" i="2"/>
  <c r="B67" i="2"/>
  <c r="K62" i="2"/>
  <c r="N34" i="2"/>
  <c r="N41" i="2" s="1"/>
  <c r="B28" i="2"/>
  <c r="B20" i="2"/>
  <c r="H146" i="2"/>
  <c r="I118" i="2"/>
  <c r="N90" i="2"/>
  <c r="N111" i="2" s="1"/>
  <c r="J62" i="2"/>
  <c r="B50" i="2"/>
  <c r="B42" i="2"/>
  <c r="M34" i="2"/>
  <c r="M41" i="2" s="1"/>
  <c r="P6" i="2"/>
  <c r="P27" i="2" s="1"/>
  <c r="F146" i="2"/>
  <c r="H118" i="2"/>
  <c r="B98" i="2"/>
  <c r="B97" i="2"/>
  <c r="M90" i="2"/>
  <c r="M111" i="2" s="1"/>
  <c r="B64" i="2"/>
  <c r="I62" i="2"/>
  <c r="L34" i="2"/>
  <c r="L41" i="2" s="1"/>
  <c r="B25" i="2"/>
  <c r="B17" i="2"/>
  <c r="B121" i="2"/>
  <c r="E118" i="2"/>
  <c r="L90" i="2"/>
  <c r="L111" i="2" s="1"/>
  <c r="X62" i="2"/>
  <c r="H62" i="2"/>
  <c r="B55" i="2"/>
  <c r="B47" i="2"/>
  <c r="B39" i="2"/>
  <c r="K34" i="2"/>
  <c r="K41" i="2" s="1"/>
  <c r="B124" i="2"/>
  <c r="D118" i="2"/>
  <c r="B103" i="2"/>
  <c r="K90" i="2"/>
  <c r="K111" i="2" s="1"/>
  <c r="B73" i="2"/>
  <c r="B69" i="2"/>
  <c r="W62" i="2"/>
  <c r="G62" i="2"/>
  <c r="J34" i="2"/>
  <c r="J41" i="2" s="1"/>
  <c r="B153" i="2"/>
  <c r="I90" i="2"/>
  <c r="B100" i="2"/>
  <c r="B93" i="2"/>
  <c r="B80" i="2"/>
  <c r="B78" i="2"/>
  <c r="S62" i="2"/>
  <c r="B82" i="2"/>
  <c r="E11" i="2"/>
  <c r="Q22" i="2"/>
  <c r="I111" i="2"/>
  <c r="X111" i="2"/>
  <c r="H111" i="2"/>
  <c r="G111" i="2"/>
  <c r="T111" i="2"/>
  <c r="P111" i="2"/>
  <c r="D111" i="2"/>
  <c r="Q11" i="2"/>
  <c r="T11" i="2"/>
  <c r="B44" i="2"/>
  <c r="B54" i="2"/>
  <c r="T62" i="2"/>
  <c r="X6" i="2"/>
  <c r="X21" i="2" s="1"/>
  <c r="T21" i="2"/>
  <c r="U62" i="2"/>
  <c r="B68" i="2"/>
  <c r="B72" i="2"/>
  <c r="B108" i="2"/>
  <c r="N11" i="2"/>
  <c r="K11" i="2"/>
  <c r="L11" i="2"/>
  <c r="J11" i="2"/>
  <c r="V11" i="2"/>
  <c r="W19" i="2"/>
  <c r="V19" i="2"/>
  <c r="F16" i="2"/>
  <c r="Q16" i="2"/>
  <c r="U21" i="2"/>
  <c r="W24" i="2"/>
  <c r="B52" i="2"/>
  <c r="V62" i="2"/>
  <c r="B79" i="2"/>
  <c r="B83" i="2"/>
  <c r="P22" i="2"/>
  <c r="M12" i="3"/>
  <c r="P12" i="3"/>
  <c r="N12" i="3"/>
  <c r="L12" i="3"/>
  <c r="J12" i="3"/>
  <c r="I12" i="3"/>
  <c r="H12" i="3"/>
  <c r="W12" i="3"/>
  <c r="T12" i="3"/>
  <c r="X12" i="3"/>
  <c r="U12" i="3"/>
  <c r="G12" i="3"/>
  <c r="F12" i="3"/>
  <c r="B8" i="2"/>
  <c r="V24" i="2"/>
  <c r="G6" i="2"/>
  <c r="G19" i="2" s="1"/>
  <c r="V21" i="2"/>
  <c r="D34" i="2"/>
  <c r="D41" i="2" s="1"/>
  <c r="B66" i="2"/>
  <c r="N49" i="2"/>
  <c r="L49" i="2"/>
  <c r="I49" i="2"/>
  <c r="X49" i="2"/>
  <c r="H49" i="2"/>
  <c r="W49" i="2"/>
  <c r="G49" i="2"/>
  <c r="V49" i="2"/>
  <c r="F49" i="2"/>
  <c r="Q19" i="2"/>
  <c r="W11" i="2"/>
  <c r="B12" i="2"/>
  <c r="H6" i="2"/>
  <c r="H16" i="2" s="1"/>
  <c r="V16" i="2"/>
  <c r="W21" i="2"/>
  <c r="E34" i="2"/>
  <c r="E49" i="2" s="1"/>
  <c r="B194" i="4"/>
  <c r="B162" i="4"/>
  <c r="Q163" i="4" s="1"/>
  <c r="Q191" i="4" s="1"/>
  <c r="B190" i="4"/>
  <c r="B191" i="4"/>
  <c r="B189" i="4"/>
  <c r="I187" i="4"/>
  <c r="B164" i="4"/>
  <c r="B193" i="4"/>
  <c r="H187" i="4"/>
  <c r="B192" i="4"/>
  <c r="G187" i="4"/>
  <c r="E187" i="4"/>
  <c r="B166" i="4"/>
  <c r="S167" i="4" s="1"/>
  <c r="S195" i="4" s="1"/>
  <c r="B165" i="4"/>
  <c r="S166" i="4" s="1"/>
  <c r="S194" i="4" s="1"/>
  <c r="F187" i="4"/>
  <c r="B161" i="4"/>
  <c r="X161" i="4" s="1"/>
  <c r="X189" i="4" s="1"/>
  <c r="I159" i="4"/>
  <c r="D187" i="4"/>
  <c r="H159" i="4"/>
  <c r="F159" i="4"/>
  <c r="D159" i="4"/>
  <c r="G159" i="4"/>
  <c r="E159" i="4"/>
  <c r="B20" i="4"/>
  <c r="B163" i="4"/>
  <c r="S164" i="4" s="1"/>
  <c r="S192" i="4" s="1"/>
  <c r="D131" i="4"/>
  <c r="B110" i="4"/>
  <c r="W111" i="4" s="1"/>
  <c r="W139" i="4" s="1"/>
  <c r="G103" i="4"/>
  <c r="B140" i="4"/>
  <c r="F103" i="4"/>
  <c r="B115" i="4"/>
  <c r="W114" i="4" s="1"/>
  <c r="W142" i="4" s="1"/>
  <c r="B107" i="4"/>
  <c r="E103" i="4"/>
  <c r="B137" i="4"/>
  <c r="B142" i="4"/>
  <c r="B134" i="4"/>
  <c r="N131" i="4"/>
  <c r="B109" i="4"/>
  <c r="B139" i="4"/>
  <c r="M131" i="4"/>
  <c r="B136" i="4"/>
  <c r="K131" i="4"/>
  <c r="B141" i="4"/>
  <c r="B133" i="4"/>
  <c r="I131" i="4"/>
  <c r="L131" i="4"/>
  <c r="J131" i="4"/>
  <c r="H131" i="4"/>
  <c r="B143" i="4"/>
  <c r="G131" i="4"/>
  <c r="B138" i="4"/>
  <c r="F131" i="4"/>
  <c r="B111" i="4"/>
  <c r="E131" i="4"/>
  <c r="B112" i="4"/>
  <c r="P112" i="4" s="1"/>
  <c r="P140" i="4" s="1"/>
  <c r="N103" i="4"/>
  <c r="M103" i="4"/>
  <c r="L103" i="4"/>
  <c r="B106" i="4"/>
  <c r="Q107" i="4" s="1"/>
  <c r="Q135" i="4" s="1"/>
  <c r="J103" i="4"/>
  <c r="B113" i="4"/>
  <c r="P114" i="4" s="1"/>
  <c r="P142" i="4" s="1"/>
  <c r="B114" i="4"/>
  <c r="T115" i="4" s="1"/>
  <c r="T143" i="4" s="1"/>
  <c r="H103" i="4"/>
  <c r="I103" i="4"/>
  <c r="B21" i="4"/>
  <c r="D103" i="4"/>
  <c r="B105" i="4"/>
  <c r="B135" i="4"/>
  <c r="B108" i="4"/>
  <c r="K103" i="4"/>
  <c r="V118" i="4"/>
  <c r="V146" i="4" s="1"/>
  <c r="U118" i="4"/>
  <c r="U146" i="4" s="1"/>
  <c r="U119" i="4"/>
  <c r="U147" i="4" s="1"/>
  <c r="S119" i="4"/>
  <c r="S147" i="4" s="1"/>
  <c r="P119" i="4"/>
  <c r="P147" i="4" s="1"/>
  <c r="X120" i="4"/>
  <c r="X148" i="4" s="1"/>
  <c r="O170" i="4"/>
  <c r="O198" i="4" s="1"/>
  <c r="U170" i="4"/>
  <c r="U198" i="4" s="1"/>
  <c r="L169" i="4"/>
  <c r="L197" i="4" s="1"/>
  <c r="M170" i="4"/>
  <c r="M198" i="4" s="1"/>
  <c r="K169" i="4"/>
  <c r="K197" i="4" s="1"/>
  <c r="W170" i="4"/>
  <c r="W198" i="4" s="1"/>
  <c r="L170" i="4"/>
  <c r="L198" i="4" s="1"/>
  <c r="K170" i="4"/>
  <c r="K198" i="4" s="1"/>
  <c r="O169" i="4"/>
  <c r="O197" i="4" s="1"/>
  <c r="X168" i="4"/>
  <c r="X196" i="4" s="1"/>
  <c r="S178" i="4"/>
  <c r="S206" i="4" s="1"/>
  <c r="S170" i="4"/>
  <c r="S198" i="4" s="1"/>
  <c r="Q165" i="4"/>
  <c r="Q193" i="4" s="1"/>
  <c r="S162" i="4"/>
  <c r="S190" i="4" s="1"/>
  <c r="S175" i="4"/>
  <c r="S203" i="4" s="1"/>
  <c r="Q170" i="4"/>
  <c r="Q198" i="4" s="1"/>
  <c r="S180" i="4"/>
  <c r="S208" i="4" s="1"/>
  <c r="S172" i="4"/>
  <c r="S200" i="4" s="1"/>
  <c r="Q167" i="4"/>
  <c r="Q195" i="4" s="1"/>
  <c r="Q180" i="4"/>
  <c r="Q208" i="4" s="1"/>
  <c r="S177" i="4"/>
  <c r="S205" i="4" s="1"/>
  <c r="Q177" i="4"/>
  <c r="Q205" i="4" s="1"/>
  <c r="S174" i="4"/>
  <c r="S202" i="4" s="1"/>
  <c r="S179" i="4"/>
  <c r="S207" i="4" s="1"/>
  <c r="Q174" i="4"/>
  <c r="Q202" i="4" s="1"/>
  <c r="S176" i="4"/>
  <c r="S204" i="4" s="1"/>
  <c r="S171" i="4"/>
  <c r="S199" i="4" s="1"/>
  <c r="Q171" i="4"/>
  <c r="Q199" i="4" s="1"/>
  <c r="Q176" i="4"/>
  <c r="Q204" i="4" s="1"/>
  <c r="S168" i="4"/>
  <c r="S196" i="4" s="1"/>
  <c r="Q172" i="4"/>
  <c r="Q200" i="4" s="1"/>
  <c r="Q168" i="4"/>
  <c r="Q196" i="4" s="1"/>
  <c r="S169" i="4"/>
  <c r="S197" i="4" s="1"/>
  <c r="Q164" i="4"/>
  <c r="Q192" i="4" s="1"/>
  <c r="Q169" i="4"/>
  <c r="Q197" i="4" s="1"/>
  <c r="S181" i="4"/>
  <c r="S209" i="4" s="1"/>
  <c r="Q166" i="4"/>
  <c r="Q194" i="4" s="1"/>
  <c r="S173" i="4"/>
  <c r="S201" i="4" s="1"/>
  <c r="S161" i="4"/>
  <c r="S189" i="4" s="1"/>
  <c r="Q179" i="4"/>
  <c r="Q207" i="4" s="1"/>
  <c r="W121" i="4"/>
  <c r="W149" i="4" s="1"/>
  <c r="V123" i="4"/>
  <c r="V151" i="4" s="1"/>
  <c r="W116" i="4"/>
  <c r="W144" i="4" s="1"/>
  <c r="T178" i="4"/>
  <c r="T206" i="4" s="1"/>
  <c r="T170" i="4"/>
  <c r="T198" i="4" s="1"/>
  <c r="T162" i="4"/>
  <c r="T190" i="4" s="1"/>
  <c r="T175" i="4"/>
  <c r="T203" i="4" s="1"/>
  <c r="T167" i="4"/>
  <c r="T195" i="4" s="1"/>
  <c r="T180" i="4"/>
  <c r="T208" i="4" s="1"/>
  <c r="T172" i="4"/>
  <c r="T200" i="4" s="1"/>
  <c r="T164" i="4"/>
  <c r="T192" i="4" s="1"/>
  <c r="T177" i="4"/>
  <c r="T205" i="4" s="1"/>
  <c r="T169" i="4"/>
  <c r="T197" i="4" s="1"/>
  <c r="T176" i="4"/>
  <c r="T204" i="4" s="1"/>
  <c r="T168" i="4"/>
  <c r="T196" i="4" s="1"/>
  <c r="T171" i="4"/>
  <c r="T199" i="4" s="1"/>
  <c r="R176" i="4"/>
  <c r="R204" i="4" s="1"/>
  <c r="T174" i="4"/>
  <c r="T202" i="4" s="1"/>
  <c r="R174" i="4"/>
  <c r="R202" i="4" s="1"/>
  <c r="T163" i="4"/>
  <c r="T191" i="4" s="1"/>
  <c r="R168" i="4"/>
  <c r="R196" i="4" s="1"/>
  <c r="R164" i="4"/>
  <c r="R192" i="4" s="1"/>
  <c r="R163" i="4"/>
  <c r="R191" i="4" s="1"/>
  <c r="R169" i="4"/>
  <c r="R197" i="4" s="1"/>
  <c r="T179" i="4"/>
  <c r="T207" i="4" s="1"/>
  <c r="R177" i="4"/>
  <c r="R205" i="4" s="1"/>
  <c r="T166" i="4"/>
  <c r="T194" i="4" s="1"/>
  <c r="T165" i="4"/>
  <c r="T193" i="4" s="1"/>
  <c r="T181" i="4"/>
  <c r="T209" i="4" s="1"/>
  <c r="T173" i="4"/>
  <c r="T201" i="4" s="1"/>
  <c r="Q119" i="4"/>
  <c r="Q147" i="4" s="1"/>
  <c r="V175" i="4"/>
  <c r="V203" i="4" s="1"/>
  <c r="V167" i="4"/>
  <c r="V195" i="4" s="1"/>
  <c r="V180" i="4"/>
  <c r="V208" i="4" s="1"/>
  <c r="V172" i="4"/>
  <c r="V200" i="4" s="1"/>
  <c r="V164" i="4"/>
  <c r="V192" i="4" s="1"/>
  <c r="V177" i="4"/>
  <c r="V205" i="4" s="1"/>
  <c r="V169" i="4"/>
  <c r="V197" i="4" s="1"/>
  <c r="V161" i="4"/>
  <c r="V189" i="4" s="1"/>
  <c r="V174" i="4"/>
  <c r="V202" i="4" s="1"/>
  <c r="V181" i="4"/>
  <c r="V209" i="4" s="1"/>
  <c r="V173" i="4"/>
  <c r="V201" i="4" s="1"/>
  <c r="V176" i="4"/>
  <c r="V204" i="4" s="1"/>
  <c r="V178" i="4"/>
  <c r="V206" i="4" s="1"/>
  <c r="V168" i="4"/>
  <c r="V196" i="4" s="1"/>
  <c r="V163" i="4"/>
  <c r="V191" i="4" s="1"/>
  <c r="V162" i="4"/>
  <c r="V190" i="4" s="1"/>
  <c r="V165" i="4"/>
  <c r="V193" i="4" s="1"/>
  <c r="V179" i="4"/>
  <c r="V207" i="4" s="1"/>
  <c r="V170" i="4"/>
  <c r="V198" i="4" s="1"/>
  <c r="P121" i="4"/>
  <c r="P149" i="4" s="1"/>
  <c r="P113" i="4"/>
  <c r="P141" i="4" s="1"/>
  <c r="P118" i="4"/>
  <c r="P146" i="4" s="1"/>
  <c r="P123" i="4"/>
  <c r="P151" i="4" s="1"/>
  <c r="P120" i="4"/>
  <c r="P148" i="4" s="1"/>
  <c r="P125" i="4"/>
  <c r="P153" i="4" s="1"/>
  <c r="R119" i="4"/>
  <c r="R147" i="4" s="1"/>
  <c r="P122" i="4"/>
  <c r="P150" i="4" s="1"/>
  <c r="Q121" i="4"/>
  <c r="Q149" i="4" s="1"/>
  <c r="Q113" i="4"/>
  <c r="Q141" i="4" s="1"/>
  <c r="Q118" i="4"/>
  <c r="Q146" i="4" s="1"/>
  <c r="Q123" i="4"/>
  <c r="Q151" i="4" s="1"/>
  <c r="Q120" i="4"/>
  <c r="Q148" i="4" s="1"/>
  <c r="Q122" i="4"/>
  <c r="Q150" i="4" s="1"/>
  <c r="X180" i="4"/>
  <c r="X208" i="4" s="1"/>
  <c r="X172" i="4"/>
  <c r="X200" i="4" s="1"/>
  <c r="X164" i="4"/>
  <c r="X192" i="4" s="1"/>
  <c r="X177" i="4"/>
  <c r="X205" i="4" s="1"/>
  <c r="X169" i="4"/>
  <c r="X197" i="4" s="1"/>
  <c r="X174" i="4"/>
  <c r="X202" i="4" s="1"/>
  <c r="X166" i="4"/>
  <c r="X194" i="4" s="1"/>
  <c r="X179" i="4"/>
  <c r="X207" i="4" s="1"/>
  <c r="X171" i="4"/>
  <c r="X199" i="4" s="1"/>
  <c r="X181" i="4"/>
  <c r="X209" i="4" s="1"/>
  <c r="X178" i="4"/>
  <c r="X206" i="4" s="1"/>
  <c r="X170" i="4"/>
  <c r="X198" i="4" s="1"/>
  <c r="X165" i="4"/>
  <c r="X193" i="4" s="1"/>
  <c r="X175" i="4"/>
  <c r="X203" i="4" s="1"/>
  <c r="X167" i="4"/>
  <c r="X195" i="4" s="1"/>
  <c r="R118" i="4"/>
  <c r="R146" i="4" s="1"/>
  <c r="T119" i="4"/>
  <c r="T147" i="4" s="1"/>
  <c r="S122" i="4"/>
  <c r="S150" i="4" s="1"/>
  <c r="P124" i="4"/>
  <c r="P152" i="4" s="1"/>
  <c r="S118" i="4"/>
  <c r="S146" i="4" s="1"/>
  <c r="Q124" i="4"/>
  <c r="Q152" i="4" s="1"/>
  <c r="R161" i="4"/>
  <c r="R189" i="4" s="1"/>
  <c r="T123" i="4"/>
  <c r="T151" i="4" s="1"/>
  <c r="T120" i="4"/>
  <c r="T148" i="4" s="1"/>
  <c r="T125" i="4"/>
  <c r="T153" i="4" s="1"/>
  <c r="T117" i="4"/>
  <c r="T145" i="4" s="1"/>
  <c r="T122" i="4"/>
  <c r="T150" i="4" s="1"/>
  <c r="T114" i="4"/>
  <c r="T142" i="4" s="1"/>
  <c r="R122" i="4"/>
  <c r="R150" i="4" s="1"/>
  <c r="T113" i="4"/>
  <c r="T141" i="4" s="1"/>
  <c r="R124" i="4"/>
  <c r="R152" i="4" s="1"/>
  <c r="V171" i="4"/>
  <c r="V199" i="4" s="1"/>
  <c r="U123" i="4"/>
  <c r="U151" i="4" s="1"/>
  <c r="U120" i="4"/>
  <c r="U148" i="4" s="1"/>
  <c r="U125" i="4"/>
  <c r="U153" i="4" s="1"/>
  <c r="S120" i="4"/>
  <c r="S148" i="4" s="1"/>
  <c r="U122" i="4"/>
  <c r="U150" i="4" s="1"/>
  <c r="U113" i="4"/>
  <c r="U141" i="4" s="1"/>
  <c r="R121" i="4"/>
  <c r="R149" i="4" s="1"/>
  <c r="S124" i="4"/>
  <c r="S152" i="4" s="1"/>
  <c r="X176" i="4"/>
  <c r="X204" i="4" s="1"/>
  <c r="V120" i="4"/>
  <c r="V148" i="4" s="1"/>
  <c r="P117" i="4"/>
  <c r="P145" i="4" s="1"/>
  <c r="W118" i="4"/>
  <c r="W146" i="4" s="1"/>
  <c r="S121" i="4"/>
  <c r="S149" i="4" s="1"/>
  <c r="T124" i="4"/>
  <c r="T152" i="4" s="1"/>
  <c r="U175" i="4"/>
  <c r="U203" i="4" s="1"/>
  <c r="U167" i="4"/>
  <c r="U195" i="4" s="1"/>
  <c r="U180" i="4"/>
  <c r="U208" i="4" s="1"/>
  <c r="U172" i="4"/>
  <c r="U200" i="4" s="1"/>
  <c r="U164" i="4"/>
  <c r="U192" i="4" s="1"/>
  <c r="U177" i="4"/>
  <c r="U205" i="4" s="1"/>
  <c r="U169" i="4"/>
  <c r="U197" i="4" s="1"/>
  <c r="U161" i="4"/>
  <c r="U189" i="4" s="1"/>
  <c r="U179" i="4"/>
  <c r="U207" i="4" s="1"/>
  <c r="U176" i="4"/>
  <c r="U204" i="4" s="1"/>
  <c r="W181" i="4"/>
  <c r="W209" i="4" s="1"/>
  <c r="W180" i="4"/>
  <c r="W208" i="4" s="1"/>
  <c r="W172" i="4"/>
  <c r="W200" i="4" s="1"/>
  <c r="W164" i="4"/>
  <c r="W192" i="4" s="1"/>
  <c r="W177" i="4"/>
  <c r="W205" i="4" s="1"/>
  <c r="W169" i="4"/>
  <c r="W197" i="4" s="1"/>
  <c r="W161" i="4"/>
  <c r="W189" i="4" s="1"/>
  <c r="W174" i="4"/>
  <c r="W202" i="4" s="1"/>
  <c r="W166" i="4"/>
  <c r="W194" i="4" s="1"/>
  <c r="W179" i="4"/>
  <c r="W207" i="4" s="1"/>
  <c r="W176" i="4"/>
  <c r="W204" i="4" s="1"/>
  <c r="W173" i="4"/>
  <c r="W201" i="4" s="1"/>
  <c r="N169" i="4"/>
  <c r="N197" i="4" s="1"/>
  <c r="M169" i="4"/>
  <c r="M197" i="4" s="1"/>
  <c r="U173" i="4"/>
  <c r="U201" i="4" s="1"/>
  <c r="V124" i="4"/>
  <c r="V152" i="4" s="1"/>
  <c r="P169" i="4"/>
  <c r="P197" i="4" s="1"/>
  <c r="K172" i="4"/>
  <c r="K200" i="4" s="1"/>
  <c r="W175" i="4"/>
  <c r="W203" i="4" s="1"/>
  <c r="U165" i="4"/>
  <c r="U193" i="4" s="1"/>
  <c r="U166" i="4"/>
  <c r="U194" i="4" s="1"/>
  <c r="R117" i="4"/>
  <c r="R145" i="4" s="1"/>
  <c r="V119" i="4"/>
  <c r="V147" i="4" s="1"/>
  <c r="X124" i="4"/>
  <c r="X152" i="4" s="1"/>
  <c r="R125" i="4"/>
  <c r="R153" i="4" s="1"/>
  <c r="K174" i="4"/>
  <c r="K202" i="4" s="1"/>
  <c r="K166" i="4"/>
  <c r="K194" i="4" s="1"/>
  <c r="K179" i="4"/>
  <c r="K207" i="4" s="1"/>
  <c r="K171" i="4"/>
  <c r="K199" i="4" s="1"/>
  <c r="K163" i="4"/>
  <c r="K191" i="4" s="1"/>
  <c r="K176" i="4"/>
  <c r="K204" i="4" s="1"/>
  <c r="K168" i="4"/>
  <c r="K196" i="4" s="1"/>
  <c r="K181" i="4"/>
  <c r="K209" i="4" s="1"/>
  <c r="K178" i="4"/>
  <c r="K206" i="4" s="1"/>
  <c r="K175" i="4"/>
  <c r="K203" i="4" s="1"/>
  <c r="O168" i="4"/>
  <c r="O196" i="4" s="1"/>
  <c r="O172" i="4"/>
  <c r="O200" i="4" s="1"/>
  <c r="S117" i="4"/>
  <c r="S145" i="4" s="1"/>
  <c r="W119" i="4"/>
  <c r="W147" i="4" s="1"/>
  <c r="S125" i="4"/>
  <c r="S153" i="4" s="1"/>
  <c r="L174" i="4"/>
  <c r="L202" i="4" s="1"/>
  <c r="K161" i="4"/>
  <c r="K189" i="4" s="1"/>
  <c r="W165" i="4"/>
  <c r="W193" i="4" s="1"/>
  <c r="P172" i="4"/>
  <c r="P200" i="4" s="1"/>
  <c r="M174" i="4"/>
  <c r="M202" i="4" s="1"/>
  <c r="R112" i="4"/>
  <c r="R140" i="4" s="1"/>
  <c r="X119" i="4"/>
  <c r="X147" i="4" s="1"/>
  <c r="R120" i="4"/>
  <c r="R148" i="4" s="1"/>
  <c r="V122" i="4"/>
  <c r="V150" i="4" s="1"/>
  <c r="N174" i="4"/>
  <c r="N202" i="4" s="1"/>
  <c r="O171" i="4"/>
  <c r="O199" i="4" s="1"/>
  <c r="K180" i="4"/>
  <c r="K208" i="4" s="1"/>
  <c r="V117" i="4"/>
  <c r="V145" i="4" s="1"/>
  <c r="X122" i="4"/>
  <c r="X150" i="4" s="1"/>
  <c r="R123" i="4"/>
  <c r="R151" i="4" s="1"/>
  <c r="V125" i="4"/>
  <c r="V153" i="4" s="1"/>
  <c r="W117" i="4"/>
  <c r="W145" i="4" s="1"/>
  <c r="S123" i="4"/>
  <c r="S151" i="4" s="1"/>
  <c r="W125" i="4"/>
  <c r="W153" i="4" s="1"/>
  <c r="U162" i="4"/>
  <c r="U190" i="4" s="1"/>
  <c r="U163" i="4"/>
  <c r="U191" i="4" s="1"/>
  <c r="K167" i="4"/>
  <c r="K195" i="4" s="1"/>
  <c r="U168" i="4"/>
  <c r="U196" i="4" s="1"/>
  <c r="U178" i="4"/>
  <c r="U206" i="4" s="1"/>
  <c r="V112" i="4"/>
  <c r="V140" i="4" s="1"/>
  <c r="X117" i="4"/>
  <c r="X145" i="4" s="1"/>
  <c r="Q181" i="4"/>
  <c r="Q209" i="4" s="1"/>
  <c r="U174" i="4"/>
  <c r="U202" i="4" s="1"/>
  <c r="W112" i="4"/>
  <c r="W140" i="4" s="1"/>
  <c r="R181" i="4"/>
  <c r="R209" i="4" s="1"/>
  <c r="R173" i="4"/>
  <c r="R201" i="4" s="1"/>
  <c r="R165" i="4"/>
  <c r="R193" i="4" s="1"/>
  <c r="R178" i="4"/>
  <c r="R206" i="4" s="1"/>
  <c r="R170" i="4"/>
  <c r="R198" i="4" s="1"/>
  <c r="R162" i="4"/>
  <c r="R190" i="4" s="1"/>
  <c r="R175" i="4"/>
  <c r="R203" i="4" s="1"/>
  <c r="R167" i="4"/>
  <c r="R195" i="4" s="1"/>
  <c r="R180" i="4"/>
  <c r="R208" i="4" s="1"/>
  <c r="R172" i="4"/>
  <c r="R200" i="4" s="1"/>
  <c r="P167" i="4"/>
  <c r="P195" i="4" s="1"/>
  <c r="R179" i="4"/>
  <c r="R207" i="4" s="1"/>
  <c r="R171" i="4"/>
  <c r="R199" i="4" s="1"/>
  <c r="W162" i="4"/>
  <c r="W190" i="4" s="1"/>
  <c r="W163" i="4"/>
  <c r="W191" i="4" s="1"/>
  <c r="W168" i="4"/>
  <c r="W196" i="4" s="1"/>
  <c r="W178" i="4"/>
  <c r="W206" i="4" s="1"/>
  <c r="L172" i="4"/>
  <c r="L200" i="4" s="1"/>
  <c r="P174" i="4"/>
  <c r="P202" i="4" s="1"/>
  <c r="N177" i="4"/>
  <c r="N205" i="4" s="1"/>
  <c r="L180" i="4"/>
  <c r="L208" i="4" s="1"/>
  <c r="M172" i="4"/>
  <c r="M200" i="4" s="1"/>
  <c r="M180" i="4"/>
  <c r="M208" i="4" s="1"/>
  <c r="M175" i="4"/>
  <c r="M203" i="4" s="1"/>
  <c r="M178" i="4"/>
  <c r="M206" i="4" s="1"/>
  <c r="N170" i="4"/>
  <c r="N198" i="4" s="1"/>
  <c r="L173" i="4"/>
  <c r="L201" i="4" s="1"/>
  <c r="P175" i="4"/>
  <c r="P203" i="4" s="1"/>
  <c r="N178" i="4"/>
  <c r="N206" i="4" s="1"/>
  <c r="L181" i="4"/>
  <c r="L209" i="4" s="1"/>
  <c r="M165" i="4"/>
  <c r="M193" i="4" s="1"/>
  <c r="M173" i="4"/>
  <c r="M201" i="4" s="1"/>
  <c r="Q175" i="4"/>
  <c r="Q203" i="4" s="1"/>
  <c r="O178" i="4"/>
  <c r="O206" i="4" s="1"/>
  <c r="M181" i="4"/>
  <c r="M209" i="4" s="1"/>
  <c r="P162" i="4"/>
  <c r="P190" i="4" s="1"/>
  <c r="N165" i="4"/>
  <c r="N193" i="4" s="1"/>
  <c r="L168" i="4"/>
  <c r="L196" i="4" s="1"/>
  <c r="P170" i="4"/>
  <c r="P198" i="4" s="1"/>
  <c r="N173" i="4"/>
  <c r="N201" i="4" s="1"/>
  <c r="L176" i="4"/>
  <c r="L204" i="4" s="1"/>
  <c r="P178" i="4"/>
  <c r="P206" i="4" s="1"/>
  <c r="N181" i="4"/>
  <c r="N209" i="4" s="1"/>
  <c r="M168" i="4"/>
  <c r="M196" i="4" s="1"/>
  <c r="O173" i="4"/>
  <c r="O201" i="4" s="1"/>
  <c r="M176" i="4"/>
  <c r="M204" i="4" s="1"/>
  <c r="Q178" i="4"/>
  <c r="Q206" i="4" s="1"/>
  <c r="O181" i="4"/>
  <c r="O209" i="4" s="1"/>
  <c r="L163" i="4"/>
  <c r="L191" i="4" s="1"/>
  <c r="P165" i="4"/>
  <c r="P193" i="4" s="1"/>
  <c r="N168" i="4"/>
  <c r="N196" i="4" s="1"/>
  <c r="L171" i="4"/>
  <c r="L199" i="4" s="1"/>
  <c r="P173" i="4"/>
  <c r="P201" i="4" s="1"/>
  <c r="N176" i="4"/>
  <c r="N204" i="4" s="1"/>
  <c r="L179" i="4"/>
  <c r="L207" i="4" s="1"/>
  <c r="P181" i="4"/>
  <c r="P209" i="4" s="1"/>
  <c r="M171" i="4"/>
  <c r="M199" i="4" s="1"/>
  <c r="Q173" i="4"/>
  <c r="Q201" i="4" s="1"/>
  <c r="N163" i="4"/>
  <c r="N191" i="4" s="1"/>
  <c r="L166" i="4"/>
  <c r="L194" i="4" s="1"/>
  <c r="P168" i="4"/>
  <c r="P196" i="4" s="1"/>
  <c r="N171" i="4"/>
  <c r="N199" i="4" s="1"/>
  <c r="V114" i="4" l="1"/>
  <c r="V142" i="4" s="1"/>
  <c r="P116" i="4"/>
  <c r="P144" i="4" s="1"/>
  <c r="P11" i="2"/>
  <c r="I14" i="2"/>
  <c r="R107" i="4"/>
  <c r="R135" i="4" s="1"/>
  <c r="X111" i="4"/>
  <c r="X139" i="4" s="1"/>
  <c r="R105" i="4"/>
  <c r="R133" i="4" s="1"/>
  <c r="T19" i="2"/>
  <c r="S49" i="2"/>
  <c r="M24" i="2"/>
  <c r="I16" i="2"/>
  <c r="S14" i="2"/>
  <c r="K16" i="2"/>
  <c r="S16" i="2"/>
  <c r="S21" i="2"/>
  <c r="R77" i="2" s="1"/>
  <c r="S115" i="4"/>
  <c r="S143" i="4" s="1"/>
  <c r="R109" i="4"/>
  <c r="R137" i="4" s="1"/>
  <c r="F19" i="2"/>
  <c r="M11" i="2"/>
  <c r="P49" i="2"/>
  <c r="G11" i="2"/>
  <c r="L16" i="2"/>
  <c r="U114" i="4"/>
  <c r="U142" i="4" s="1"/>
  <c r="I11" i="2"/>
  <c r="U19" i="2"/>
  <c r="H19" i="2"/>
  <c r="V27" i="2"/>
  <c r="I21" i="2"/>
  <c r="X19" i="2"/>
  <c r="E41" i="2"/>
  <c r="M16" i="2"/>
  <c r="W115" i="4"/>
  <c r="W143" i="4" s="1"/>
  <c r="I19" i="2"/>
  <c r="T49" i="2"/>
  <c r="H27" i="2"/>
  <c r="R115" i="4"/>
  <c r="R143" i="4" s="1"/>
  <c r="S109" i="4"/>
  <c r="S137" i="4" s="1"/>
  <c r="J19" i="2"/>
  <c r="M21" i="2"/>
  <c r="I27" i="2"/>
  <c r="M22" i="2"/>
  <c r="L19" i="2"/>
  <c r="S22" i="2"/>
  <c r="J27" i="2"/>
  <c r="N22" i="2"/>
  <c r="X116" i="4"/>
  <c r="X144" i="4" s="1"/>
  <c r="U115" i="4"/>
  <c r="U143" i="4" s="1"/>
  <c r="M19" i="2"/>
  <c r="L75" i="2" s="1"/>
  <c r="O21" i="2"/>
  <c r="Q114" i="4"/>
  <c r="Q142" i="4" s="1"/>
  <c r="K19" i="2"/>
  <c r="E19" i="2"/>
  <c r="Q24" i="2"/>
  <c r="X24" i="2"/>
  <c r="M27" i="2"/>
  <c r="S105" i="4"/>
  <c r="S133" i="4" s="1"/>
  <c r="I22" i="2"/>
  <c r="O14" i="2"/>
  <c r="R21" i="2"/>
  <c r="K49" i="2"/>
  <c r="F11" i="2"/>
  <c r="J22" i="2"/>
  <c r="X106" i="4"/>
  <c r="X134" i="4" s="1"/>
  <c r="X105" i="4"/>
  <c r="X133" i="4" s="1"/>
  <c r="V105" i="4"/>
  <c r="V133" i="4" s="1"/>
  <c r="U105" i="4"/>
  <c r="U133" i="4" s="1"/>
  <c r="W106" i="4"/>
  <c r="W134" i="4" s="1"/>
  <c r="T106" i="4"/>
  <c r="T134" i="4" s="1"/>
  <c r="Q110" i="4"/>
  <c r="Q138" i="4" s="1"/>
  <c r="V107" i="4"/>
  <c r="V135" i="4" s="1"/>
  <c r="X107" i="4"/>
  <c r="X135" i="4" s="1"/>
  <c r="U111" i="4"/>
  <c r="U139" i="4" s="1"/>
  <c r="T111" i="4"/>
  <c r="T139" i="4" s="1"/>
  <c r="R111" i="4"/>
  <c r="R139" i="4" s="1"/>
  <c r="P111" i="4"/>
  <c r="P139" i="4" s="1"/>
  <c r="S111" i="4"/>
  <c r="S139" i="4" s="1"/>
  <c r="Q111" i="4"/>
  <c r="Q139" i="4" s="1"/>
  <c r="Q105" i="4"/>
  <c r="Q133" i="4" s="1"/>
  <c r="P105" i="4"/>
  <c r="P133" i="4" s="1"/>
  <c r="N124" i="4"/>
  <c r="N152" i="4" s="1"/>
  <c r="N116" i="4"/>
  <c r="N144" i="4" s="1"/>
  <c r="N108" i="4"/>
  <c r="N136" i="4" s="1"/>
  <c r="N121" i="4"/>
  <c r="N149" i="4" s="1"/>
  <c r="N113" i="4"/>
  <c r="N141" i="4" s="1"/>
  <c r="N118" i="4"/>
  <c r="N146" i="4" s="1"/>
  <c r="N110" i="4"/>
  <c r="N138" i="4" s="1"/>
  <c r="N123" i="4"/>
  <c r="N151" i="4" s="1"/>
  <c r="N115" i="4"/>
  <c r="N143" i="4" s="1"/>
  <c r="N112" i="4"/>
  <c r="N140" i="4" s="1"/>
  <c r="N117" i="4"/>
  <c r="N145" i="4" s="1"/>
  <c r="N105" i="4"/>
  <c r="N133" i="4" s="1"/>
  <c r="N107" i="4"/>
  <c r="N135" i="4" s="1"/>
  <c r="N106" i="4"/>
  <c r="N134" i="4" s="1"/>
  <c r="N125" i="4"/>
  <c r="N153" i="4" s="1"/>
  <c r="N122" i="4"/>
  <c r="N150" i="4" s="1"/>
  <c r="N114" i="4"/>
  <c r="N142" i="4" s="1"/>
  <c r="N109" i="4"/>
  <c r="N137" i="4" s="1"/>
  <c r="N120" i="4"/>
  <c r="N148" i="4" s="1"/>
  <c r="N119" i="4"/>
  <c r="N147" i="4" s="1"/>
  <c r="N111" i="4"/>
  <c r="N139" i="4" s="1"/>
  <c r="P164" i="4"/>
  <c r="P192" i="4" s="1"/>
  <c r="O164" i="4"/>
  <c r="O192" i="4" s="1"/>
  <c r="N164" i="4"/>
  <c r="N192" i="4" s="1"/>
  <c r="L164" i="4"/>
  <c r="L192" i="4" s="1"/>
  <c r="M164" i="4"/>
  <c r="M192" i="4" s="1"/>
  <c r="K164" i="4"/>
  <c r="K192" i="4" s="1"/>
  <c r="K39" i="2"/>
  <c r="H39" i="2"/>
  <c r="J39" i="2"/>
  <c r="I39" i="2"/>
  <c r="X39" i="2"/>
  <c r="W39" i="2"/>
  <c r="G39" i="2"/>
  <c r="V39" i="2"/>
  <c r="F39" i="2"/>
  <c r="U39" i="2"/>
  <c r="E39" i="2"/>
  <c r="T39" i="2"/>
  <c r="D39" i="2"/>
  <c r="S39" i="2"/>
  <c r="R39" i="2"/>
  <c r="P39" i="2"/>
  <c r="M39" i="2"/>
  <c r="O39" i="2"/>
  <c r="Q39" i="2"/>
  <c r="N39" i="2"/>
  <c r="L39" i="2"/>
  <c r="W127" i="2"/>
  <c r="G127" i="2"/>
  <c r="V127" i="2"/>
  <c r="F127" i="2"/>
  <c r="U127" i="2"/>
  <c r="E127" i="2"/>
  <c r="O127" i="2"/>
  <c r="N127" i="2"/>
  <c r="M127" i="2"/>
  <c r="L127" i="2"/>
  <c r="K127" i="2"/>
  <c r="J127" i="2"/>
  <c r="I127" i="2"/>
  <c r="H127" i="2"/>
  <c r="D127" i="2"/>
  <c r="T127" i="2"/>
  <c r="R127" i="2"/>
  <c r="P127" i="2"/>
  <c r="X127" i="2"/>
  <c r="Q127" i="2"/>
  <c r="S127" i="2"/>
  <c r="I109" i="2"/>
  <c r="X109" i="2"/>
  <c r="H109" i="2"/>
  <c r="W109" i="2"/>
  <c r="G109" i="2"/>
  <c r="V109" i="2"/>
  <c r="F109" i="2"/>
  <c r="U109" i="2"/>
  <c r="E109" i="2"/>
  <c r="T109" i="2"/>
  <c r="D109" i="2"/>
  <c r="S109" i="2"/>
  <c r="Q109" i="2"/>
  <c r="K109" i="2"/>
  <c r="J109" i="2"/>
  <c r="P109" i="2"/>
  <c r="L109" i="2"/>
  <c r="N109" i="2"/>
  <c r="R109" i="2"/>
  <c r="O109" i="2"/>
  <c r="M109" i="2"/>
  <c r="I132" i="2"/>
  <c r="X132" i="2"/>
  <c r="H132" i="2"/>
  <c r="W132" i="2"/>
  <c r="G132" i="2"/>
  <c r="R132" i="2"/>
  <c r="J132" i="2"/>
  <c r="F132" i="2"/>
  <c r="E132" i="2"/>
  <c r="D132" i="2"/>
  <c r="V132" i="2"/>
  <c r="U132" i="2"/>
  <c r="T132" i="2"/>
  <c r="S132" i="2"/>
  <c r="Q132" i="2"/>
  <c r="O132" i="2"/>
  <c r="M132" i="2"/>
  <c r="K132" i="2"/>
  <c r="N132" i="2"/>
  <c r="P132" i="2"/>
  <c r="L132" i="2"/>
  <c r="Q17" i="3"/>
  <c r="O17" i="3"/>
  <c r="N17" i="3"/>
  <c r="M17" i="3"/>
  <c r="J17" i="3"/>
  <c r="K17" i="3"/>
  <c r="I17" i="3"/>
  <c r="H17" i="3"/>
  <c r="G17" i="3"/>
  <c r="F17" i="3"/>
  <c r="E17" i="3"/>
  <c r="D17" i="3"/>
  <c r="X17" i="3"/>
  <c r="W17" i="3"/>
  <c r="V17" i="3"/>
  <c r="T17" i="3"/>
  <c r="S17" i="3"/>
  <c r="R17" i="3"/>
  <c r="L17" i="3"/>
  <c r="U17" i="3"/>
  <c r="P17" i="3"/>
  <c r="X22" i="2"/>
  <c r="R49" i="2"/>
  <c r="E16" i="2"/>
  <c r="E27" i="2"/>
  <c r="X16" i="2"/>
  <c r="O124" i="4"/>
  <c r="O152" i="4" s="1"/>
  <c r="O116" i="4"/>
  <c r="O144" i="4" s="1"/>
  <c r="O108" i="4"/>
  <c r="O136" i="4" s="1"/>
  <c r="O121" i="4"/>
  <c r="O149" i="4" s="1"/>
  <c r="O113" i="4"/>
  <c r="O141" i="4" s="1"/>
  <c r="O105" i="4"/>
  <c r="O133" i="4" s="1"/>
  <c r="O123" i="4"/>
  <c r="O151" i="4" s="1"/>
  <c r="O115" i="4"/>
  <c r="O143" i="4" s="1"/>
  <c r="O107" i="4"/>
  <c r="O135" i="4" s="1"/>
  <c r="O117" i="4"/>
  <c r="O145" i="4" s="1"/>
  <c r="O118" i="4"/>
  <c r="O146" i="4" s="1"/>
  <c r="O106" i="4"/>
  <c r="O134" i="4" s="1"/>
  <c r="O125" i="4"/>
  <c r="O153" i="4" s="1"/>
  <c r="O122" i="4"/>
  <c r="O150" i="4" s="1"/>
  <c r="O114" i="4"/>
  <c r="O142" i="4" s="1"/>
  <c r="O109" i="4"/>
  <c r="O137" i="4" s="1"/>
  <c r="O119" i="4"/>
  <c r="O147" i="4" s="1"/>
  <c r="O110" i="4"/>
  <c r="O138" i="4" s="1"/>
  <c r="O120" i="4"/>
  <c r="O148" i="4" s="1"/>
  <c r="O111" i="4"/>
  <c r="O139" i="4" s="1"/>
  <c r="O112" i="4"/>
  <c r="O140" i="4" s="1"/>
  <c r="O108" i="2"/>
  <c r="N108" i="2"/>
  <c r="M108" i="2"/>
  <c r="L108" i="2"/>
  <c r="K108" i="2"/>
  <c r="J108" i="2"/>
  <c r="I108" i="2"/>
  <c r="W108" i="2"/>
  <c r="G108" i="2"/>
  <c r="X108" i="2"/>
  <c r="V108" i="2"/>
  <c r="U108" i="2"/>
  <c r="T108" i="2"/>
  <c r="S108" i="2"/>
  <c r="R108" i="2"/>
  <c r="Q108" i="2"/>
  <c r="P108" i="2"/>
  <c r="F108" i="2"/>
  <c r="H108" i="2"/>
  <c r="E108" i="2"/>
  <c r="D108" i="2"/>
  <c r="K47" i="2"/>
  <c r="J47" i="2"/>
  <c r="I47" i="2"/>
  <c r="X47" i="2"/>
  <c r="H47" i="2"/>
  <c r="W47" i="2"/>
  <c r="G47" i="2"/>
  <c r="V47" i="2"/>
  <c r="F47" i="2"/>
  <c r="U47" i="2"/>
  <c r="E47" i="2"/>
  <c r="T47" i="2"/>
  <c r="D47" i="2"/>
  <c r="S47" i="2"/>
  <c r="R47" i="2"/>
  <c r="N47" i="2"/>
  <c r="M47" i="2"/>
  <c r="P47" i="2"/>
  <c r="Q47" i="2"/>
  <c r="O47" i="2"/>
  <c r="L47" i="2"/>
  <c r="D21" i="2"/>
  <c r="D27" i="2"/>
  <c r="D24" i="2"/>
  <c r="T10" i="2"/>
  <c r="D10" i="2"/>
  <c r="Q10" i="2"/>
  <c r="S10" i="2"/>
  <c r="R10" i="2"/>
  <c r="P10" i="2"/>
  <c r="N10" i="2"/>
  <c r="L10" i="2"/>
  <c r="W10" i="2"/>
  <c r="K10" i="2"/>
  <c r="V10" i="2"/>
  <c r="F10" i="2"/>
  <c r="U10" i="2"/>
  <c r="O10" i="2"/>
  <c r="M10" i="2"/>
  <c r="I10" i="2"/>
  <c r="J10" i="2"/>
  <c r="G10" i="2"/>
  <c r="H10" i="2"/>
  <c r="E10" i="2"/>
  <c r="X10" i="2"/>
  <c r="S43" i="2"/>
  <c r="R43" i="2"/>
  <c r="P43" i="2"/>
  <c r="Q43" i="2"/>
  <c r="O43" i="2"/>
  <c r="N43" i="2"/>
  <c r="M43" i="2"/>
  <c r="L43" i="2"/>
  <c r="K43" i="2"/>
  <c r="K70" i="2" s="1"/>
  <c r="J43" i="2"/>
  <c r="T43" i="2"/>
  <c r="G43" i="2"/>
  <c r="V43" i="2"/>
  <c r="X43" i="2"/>
  <c r="E43" i="2"/>
  <c r="W43" i="2"/>
  <c r="U43" i="2"/>
  <c r="I43" i="2"/>
  <c r="H43" i="2"/>
  <c r="F43" i="2"/>
  <c r="D43" i="2"/>
  <c r="Q128" i="2"/>
  <c r="P128" i="2"/>
  <c r="O128" i="2"/>
  <c r="L128" i="2"/>
  <c r="K128" i="2"/>
  <c r="J128" i="2"/>
  <c r="I128" i="2"/>
  <c r="H128" i="2"/>
  <c r="G128" i="2"/>
  <c r="F128" i="2"/>
  <c r="X128" i="2"/>
  <c r="E128" i="2"/>
  <c r="W128" i="2"/>
  <c r="D128" i="2"/>
  <c r="V128" i="2"/>
  <c r="T128" i="2"/>
  <c r="R128" i="2"/>
  <c r="M128" i="2"/>
  <c r="U128" i="2"/>
  <c r="S128" i="2"/>
  <c r="N128" i="2"/>
  <c r="M134" i="2"/>
  <c r="L134" i="2"/>
  <c r="K134" i="2"/>
  <c r="J134" i="2"/>
  <c r="X134" i="2"/>
  <c r="H134" i="2"/>
  <c r="V134" i="2"/>
  <c r="F134" i="2"/>
  <c r="I134" i="2"/>
  <c r="G134" i="2"/>
  <c r="E134" i="2"/>
  <c r="D134" i="2"/>
  <c r="W134" i="2"/>
  <c r="U134" i="2"/>
  <c r="T134" i="2"/>
  <c r="R134" i="2"/>
  <c r="P134" i="2"/>
  <c r="N134" i="2"/>
  <c r="S134" i="2"/>
  <c r="Q134" i="2"/>
  <c r="O134" i="2"/>
  <c r="M23" i="3"/>
  <c r="K23" i="3"/>
  <c r="J23" i="3"/>
  <c r="I23" i="3"/>
  <c r="V23" i="3"/>
  <c r="F23" i="3"/>
  <c r="S23" i="3"/>
  <c r="R23" i="3"/>
  <c r="Q23" i="3"/>
  <c r="P23" i="3"/>
  <c r="O23" i="3"/>
  <c r="N23" i="3"/>
  <c r="L23" i="3"/>
  <c r="H23" i="3"/>
  <c r="G23" i="3"/>
  <c r="E23" i="3"/>
  <c r="X23" i="3"/>
  <c r="W23" i="3"/>
  <c r="T23" i="3"/>
  <c r="U23" i="3"/>
  <c r="D23" i="3"/>
  <c r="L40" i="3"/>
  <c r="K40" i="3"/>
  <c r="J40" i="3"/>
  <c r="I40" i="3"/>
  <c r="X40" i="3"/>
  <c r="H40" i="3"/>
  <c r="V40" i="3"/>
  <c r="F40" i="3"/>
  <c r="U40" i="3"/>
  <c r="E40" i="3"/>
  <c r="T40" i="3"/>
  <c r="S40" i="3"/>
  <c r="Q40" i="3"/>
  <c r="R40" i="3"/>
  <c r="P40" i="3"/>
  <c r="O40" i="3"/>
  <c r="N40" i="3"/>
  <c r="M40" i="3"/>
  <c r="G40" i="3"/>
  <c r="D40" i="3"/>
  <c r="W40" i="3"/>
  <c r="G21" i="2"/>
  <c r="J70" i="2"/>
  <c r="R106" i="4"/>
  <c r="R134" i="4" s="1"/>
  <c r="Q106" i="4"/>
  <c r="Q134" i="4" s="1"/>
  <c r="V113" i="4"/>
  <c r="V141" i="4" s="1"/>
  <c r="S113" i="4"/>
  <c r="S141" i="4" s="1"/>
  <c r="R113" i="4"/>
  <c r="R141" i="4" s="1"/>
  <c r="X113" i="4"/>
  <c r="X141" i="4" s="1"/>
  <c r="W113" i="4"/>
  <c r="W141" i="4" s="1"/>
  <c r="D178" i="4"/>
  <c r="D206" i="4" s="1"/>
  <c r="F175" i="4"/>
  <c r="F203" i="4" s="1"/>
  <c r="D170" i="4"/>
  <c r="D198" i="4" s="1"/>
  <c r="F167" i="4"/>
  <c r="F195" i="4" s="1"/>
  <c r="D162" i="4"/>
  <c r="D190" i="4" s="1"/>
  <c r="F180" i="4"/>
  <c r="F208" i="4" s="1"/>
  <c r="D175" i="4"/>
  <c r="D203" i="4" s="1"/>
  <c r="F172" i="4"/>
  <c r="F200" i="4" s="1"/>
  <c r="D167" i="4"/>
  <c r="D195" i="4" s="1"/>
  <c r="F164" i="4"/>
  <c r="F192" i="4" s="1"/>
  <c r="D180" i="4"/>
  <c r="D208" i="4" s="1"/>
  <c r="F177" i="4"/>
  <c r="F205" i="4" s="1"/>
  <c r="D172" i="4"/>
  <c r="D200" i="4" s="1"/>
  <c r="F169" i="4"/>
  <c r="F197" i="4" s="1"/>
  <c r="D164" i="4"/>
  <c r="D192" i="4" s="1"/>
  <c r="F161" i="4"/>
  <c r="F189" i="4" s="1"/>
  <c r="D177" i="4"/>
  <c r="D205" i="4" s="1"/>
  <c r="F174" i="4"/>
  <c r="F202" i="4" s="1"/>
  <c r="D169" i="4"/>
  <c r="D197" i="4" s="1"/>
  <c r="F181" i="4"/>
  <c r="F209" i="4" s="1"/>
  <c r="D176" i="4"/>
  <c r="D204" i="4" s="1"/>
  <c r="F173" i="4"/>
  <c r="F201" i="4" s="1"/>
  <c r="D168" i="4"/>
  <c r="D196" i="4" s="1"/>
  <c r="D181" i="4"/>
  <c r="D209" i="4" s="1"/>
  <c r="F166" i="4"/>
  <c r="F194" i="4" s="1"/>
  <c r="F165" i="4"/>
  <c r="F193" i="4" s="1"/>
  <c r="D173" i="4"/>
  <c r="D201" i="4" s="1"/>
  <c r="F170" i="4"/>
  <c r="F198" i="4" s="1"/>
  <c r="D166" i="4"/>
  <c r="D194" i="4" s="1"/>
  <c r="D165" i="4"/>
  <c r="D193" i="4" s="1"/>
  <c r="F178" i="4"/>
  <c r="F206" i="4" s="1"/>
  <c r="F176" i="4"/>
  <c r="F204" i="4" s="1"/>
  <c r="F171" i="4"/>
  <c r="F199" i="4" s="1"/>
  <c r="D161" i="4"/>
  <c r="D189" i="4" s="1"/>
  <c r="D174" i="4"/>
  <c r="D202" i="4" s="1"/>
  <c r="D171" i="4"/>
  <c r="D199" i="4" s="1"/>
  <c r="F168" i="4"/>
  <c r="F196" i="4" s="1"/>
  <c r="F163" i="4"/>
  <c r="F191" i="4" s="1"/>
  <c r="F162" i="4"/>
  <c r="F190" i="4" s="1"/>
  <c r="F179" i="4"/>
  <c r="F207" i="4" s="1"/>
  <c r="D163" i="4"/>
  <c r="D191" i="4" s="1"/>
  <c r="D179" i="4"/>
  <c r="D207" i="4" s="1"/>
  <c r="O165" i="4"/>
  <c r="O193" i="4" s="1"/>
  <c r="L165" i="4"/>
  <c r="L193" i="4" s="1"/>
  <c r="K165" i="4"/>
  <c r="K193" i="4" s="1"/>
  <c r="R16" i="2"/>
  <c r="I93" i="2"/>
  <c r="X93" i="2"/>
  <c r="H93" i="2"/>
  <c r="W93" i="2"/>
  <c r="G93" i="2"/>
  <c r="V93" i="2"/>
  <c r="F93" i="2"/>
  <c r="U93" i="2"/>
  <c r="E93" i="2"/>
  <c r="T93" i="2"/>
  <c r="S93" i="2"/>
  <c r="R93" i="2"/>
  <c r="Q93" i="2"/>
  <c r="P93" i="2"/>
  <c r="O93" i="2"/>
  <c r="N93" i="2"/>
  <c r="L93" i="2"/>
  <c r="M93" i="2"/>
  <c r="K93" i="2"/>
  <c r="J93" i="2"/>
  <c r="D93" i="2"/>
  <c r="K55" i="2"/>
  <c r="J55" i="2"/>
  <c r="I55" i="2"/>
  <c r="X55" i="2"/>
  <c r="H55" i="2"/>
  <c r="W55" i="2"/>
  <c r="G55" i="2"/>
  <c r="V55" i="2"/>
  <c r="F55" i="2"/>
  <c r="U55" i="2"/>
  <c r="E55" i="2"/>
  <c r="T55" i="2"/>
  <c r="D55" i="2"/>
  <c r="S55" i="2"/>
  <c r="R55" i="2"/>
  <c r="L55" i="2"/>
  <c r="P55" i="2"/>
  <c r="Q55" i="2"/>
  <c r="N55" i="2"/>
  <c r="O55" i="2"/>
  <c r="M55" i="2"/>
  <c r="T18" i="2"/>
  <c r="D18" i="2"/>
  <c r="S18" i="2"/>
  <c r="R18" i="2"/>
  <c r="Q18" i="2"/>
  <c r="P18" i="2"/>
  <c r="O18" i="2"/>
  <c r="N18" i="2"/>
  <c r="M18" i="2"/>
  <c r="L18" i="2"/>
  <c r="U18" i="2"/>
  <c r="I18" i="2"/>
  <c r="G18" i="2"/>
  <c r="K18" i="2"/>
  <c r="J18" i="2"/>
  <c r="H18" i="2"/>
  <c r="E18" i="2"/>
  <c r="F18" i="2"/>
  <c r="W18" i="2"/>
  <c r="X18" i="2"/>
  <c r="V18" i="2"/>
  <c r="S51" i="2"/>
  <c r="R51" i="2"/>
  <c r="Q51" i="2"/>
  <c r="P51" i="2"/>
  <c r="O51" i="2"/>
  <c r="N51" i="2"/>
  <c r="M51" i="2"/>
  <c r="L51" i="2"/>
  <c r="K51" i="2"/>
  <c r="J51" i="2"/>
  <c r="V51" i="2"/>
  <c r="G51" i="2"/>
  <c r="X51" i="2"/>
  <c r="T51" i="2"/>
  <c r="W51" i="2"/>
  <c r="U51" i="2"/>
  <c r="I51" i="2"/>
  <c r="H51" i="2"/>
  <c r="F51" i="2"/>
  <c r="E51" i="2"/>
  <c r="D51" i="2"/>
  <c r="K129" i="2"/>
  <c r="J129" i="2"/>
  <c r="I129" i="2"/>
  <c r="T129" i="2"/>
  <c r="L129" i="2"/>
  <c r="H129" i="2"/>
  <c r="G129" i="2"/>
  <c r="F129" i="2"/>
  <c r="E129" i="2"/>
  <c r="X129" i="2"/>
  <c r="D129" i="2"/>
  <c r="W129" i="2"/>
  <c r="V129" i="2"/>
  <c r="U129" i="2"/>
  <c r="S129" i="2"/>
  <c r="Q129" i="2"/>
  <c r="O129" i="2"/>
  <c r="M129" i="2"/>
  <c r="R129" i="2"/>
  <c r="P129" i="2"/>
  <c r="N129" i="2"/>
  <c r="S94" i="2"/>
  <c r="R94" i="2"/>
  <c r="Q94" i="2"/>
  <c r="P94" i="2"/>
  <c r="O94" i="2"/>
  <c r="F94" i="2"/>
  <c r="E94" i="2"/>
  <c r="D94" i="2"/>
  <c r="X94" i="2"/>
  <c r="W94" i="2"/>
  <c r="V94" i="2"/>
  <c r="U94" i="2"/>
  <c r="T94" i="2"/>
  <c r="N94" i="2"/>
  <c r="M94" i="2"/>
  <c r="K94" i="2"/>
  <c r="G94" i="2"/>
  <c r="L94" i="2"/>
  <c r="J94" i="2"/>
  <c r="I94" i="2"/>
  <c r="H94" i="2"/>
  <c r="L48" i="3"/>
  <c r="K48" i="3"/>
  <c r="J48" i="3"/>
  <c r="I48" i="3"/>
  <c r="X48" i="3"/>
  <c r="H48" i="3"/>
  <c r="V48" i="3"/>
  <c r="F48" i="3"/>
  <c r="U48" i="3"/>
  <c r="E48" i="3"/>
  <c r="T48" i="3"/>
  <c r="D48" i="3"/>
  <c r="S48" i="3"/>
  <c r="Q48" i="3"/>
  <c r="M48" i="3"/>
  <c r="W48" i="3"/>
  <c r="R48" i="3"/>
  <c r="P48" i="3"/>
  <c r="O48" i="3"/>
  <c r="G48" i="3"/>
  <c r="N48" i="3"/>
  <c r="K78" i="2"/>
  <c r="R13" i="2"/>
  <c r="M13" i="2"/>
  <c r="Q13" i="2"/>
  <c r="P13" i="2"/>
  <c r="O13" i="2"/>
  <c r="N13" i="2"/>
  <c r="L13" i="2"/>
  <c r="K13" i="2"/>
  <c r="J13" i="2"/>
  <c r="T13" i="2"/>
  <c r="H13" i="2"/>
  <c r="S13" i="2"/>
  <c r="I13" i="2"/>
  <c r="G13" i="2"/>
  <c r="F13" i="2"/>
  <c r="E13" i="2"/>
  <c r="D13" i="2"/>
  <c r="X13" i="2"/>
  <c r="W13" i="2"/>
  <c r="V13" i="2"/>
  <c r="U13" i="2"/>
  <c r="P21" i="2"/>
  <c r="L70" i="2"/>
  <c r="O41" i="2"/>
  <c r="F27" i="2"/>
  <c r="L119" i="4"/>
  <c r="L147" i="4" s="1"/>
  <c r="L111" i="4"/>
  <c r="L139" i="4" s="1"/>
  <c r="L124" i="4"/>
  <c r="L152" i="4" s="1"/>
  <c r="L116" i="4"/>
  <c r="L144" i="4" s="1"/>
  <c r="L121" i="4"/>
  <c r="L149" i="4" s="1"/>
  <c r="L113" i="4"/>
  <c r="L141" i="4" s="1"/>
  <c r="L105" i="4"/>
  <c r="L133" i="4" s="1"/>
  <c r="L118" i="4"/>
  <c r="L146" i="4" s="1"/>
  <c r="L110" i="4"/>
  <c r="L138" i="4" s="1"/>
  <c r="L123" i="4"/>
  <c r="L151" i="4" s="1"/>
  <c r="L112" i="4"/>
  <c r="L140" i="4" s="1"/>
  <c r="L117" i="4"/>
  <c r="L145" i="4" s="1"/>
  <c r="L107" i="4"/>
  <c r="L135" i="4" s="1"/>
  <c r="L106" i="4"/>
  <c r="L134" i="4" s="1"/>
  <c r="L108" i="4"/>
  <c r="L136" i="4" s="1"/>
  <c r="L114" i="4"/>
  <c r="L142" i="4" s="1"/>
  <c r="L109" i="4"/>
  <c r="L137" i="4" s="1"/>
  <c r="L115" i="4"/>
  <c r="L143" i="4" s="1"/>
  <c r="L120" i="4"/>
  <c r="L148" i="4" s="1"/>
  <c r="L125" i="4"/>
  <c r="L153" i="4" s="1"/>
  <c r="L122" i="4"/>
  <c r="L150" i="4" s="1"/>
  <c r="X110" i="4"/>
  <c r="X138" i="4" s="1"/>
  <c r="V110" i="4"/>
  <c r="V138" i="4" s="1"/>
  <c r="U110" i="4"/>
  <c r="U138" i="4" s="1"/>
  <c r="T110" i="4"/>
  <c r="T138" i="4" s="1"/>
  <c r="P110" i="4"/>
  <c r="P138" i="4" s="1"/>
  <c r="O100" i="2"/>
  <c r="N100" i="2"/>
  <c r="M100" i="2"/>
  <c r="L100" i="2"/>
  <c r="K100" i="2"/>
  <c r="J100" i="2"/>
  <c r="K156" i="2" s="1"/>
  <c r="W100" i="2"/>
  <c r="X156" i="2" s="1"/>
  <c r="G100" i="2"/>
  <c r="X100" i="2"/>
  <c r="V100" i="2"/>
  <c r="U100" i="2"/>
  <c r="T100" i="2"/>
  <c r="S100" i="2"/>
  <c r="R100" i="2"/>
  <c r="S156" i="2" s="1"/>
  <c r="Q100" i="2"/>
  <c r="P100" i="2"/>
  <c r="H100" i="2"/>
  <c r="E100" i="2"/>
  <c r="I100" i="2"/>
  <c r="F100" i="2"/>
  <c r="D100" i="2"/>
  <c r="X70" i="2"/>
  <c r="H180" i="4"/>
  <c r="H208" i="4" s="1"/>
  <c r="H172" i="4"/>
  <c r="H200" i="4" s="1"/>
  <c r="H164" i="4"/>
  <c r="H192" i="4" s="1"/>
  <c r="H177" i="4"/>
  <c r="H205" i="4" s="1"/>
  <c r="H169" i="4"/>
  <c r="H197" i="4" s="1"/>
  <c r="H161" i="4"/>
  <c r="H189" i="4" s="1"/>
  <c r="H174" i="4"/>
  <c r="H202" i="4" s="1"/>
  <c r="H166" i="4"/>
  <c r="H194" i="4" s="1"/>
  <c r="H179" i="4"/>
  <c r="H207" i="4" s="1"/>
  <c r="H171" i="4"/>
  <c r="H199" i="4" s="1"/>
  <c r="H178" i="4"/>
  <c r="H206" i="4" s="1"/>
  <c r="H170" i="4"/>
  <c r="H198" i="4" s="1"/>
  <c r="H173" i="4"/>
  <c r="H201" i="4" s="1"/>
  <c r="H176" i="4"/>
  <c r="H204" i="4" s="1"/>
  <c r="H167" i="4"/>
  <c r="H195" i="4" s="1"/>
  <c r="H168" i="4"/>
  <c r="H196" i="4" s="1"/>
  <c r="H163" i="4"/>
  <c r="H191" i="4" s="1"/>
  <c r="H162" i="4"/>
  <c r="H190" i="4" s="1"/>
  <c r="H175" i="4"/>
  <c r="H203" i="4" s="1"/>
  <c r="H165" i="4"/>
  <c r="H193" i="4" s="1"/>
  <c r="H181" i="4"/>
  <c r="H209" i="4" s="1"/>
  <c r="T26" i="2"/>
  <c r="D26" i="2"/>
  <c r="S26" i="2"/>
  <c r="R26" i="2"/>
  <c r="Q26" i="2"/>
  <c r="P26" i="2"/>
  <c r="O26" i="2"/>
  <c r="N26" i="2"/>
  <c r="M26" i="2"/>
  <c r="L26" i="2"/>
  <c r="X26" i="2"/>
  <c r="W26" i="2"/>
  <c r="U26" i="2"/>
  <c r="F26" i="2"/>
  <c r="V26" i="2"/>
  <c r="H26" i="2"/>
  <c r="E26" i="2"/>
  <c r="K26" i="2"/>
  <c r="J26" i="2"/>
  <c r="I26" i="2"/>
  <c r="G26" i="2"/>
  <c r="O139" i="2"/>
  <c r="N139" i="2"/>
  <c r="M139" i="2"/>
  <c r="L139" i="2"/>
  <c r="K139" i="2"/>
  <c r="J139" i="2"/>
  <c r="X139" i="2"/>
  <c r="H139" i="2"/>
  <c r="P139" i="2"/>
  <c r="I139" i="2"/>
  <c r="G139" i="2"/>
  <c r="F139" i="2"/>
  <c r="E139" i="2"/>
  <c r="D139" i="2"/>
  <c r="W139" i="2"/>
  <c r="U139" i="2"/>
  <c r="S139" i="2"/>
  <c r="Q139" i="2"/>
  <c r="V139" i="2"/>
  <c r="T139" i="2"/>
  <c r="R139" i="2"/>
  <c r="S102" i="2"/>
  <c r="R102" i="2"/>
  <c r="Q102" i="2"/>
  <c r="R158" i="2" s="1"/>
  <c r="P102" i="2"/>
  <c r="O102" i="2"/>
  <c r="N102" i="2"/>
  <c r="K102" i="2"/>
  <c r="L102" i="2"/>
  <c r="J102" i="2"/>
  <c r="I102" i="2"/>
  <c r="H102" i="2"/>
  <c r="G102" i="2"/>
  <c r="F102" i="2"/>
  <c r="E102" i="2"/>
  <c r="D102" i="2"/>
  <c r="W102" i="2"/>
  <c r="M102" i="2"/>
  <c r="X102" i="2"/>
  <c r="V102" i="2"/>
  <c r="U102" i="2"/>
  <c r="T102" i="2"/>
  <c r="L56" i="3"/>
  <c r="K56" i="3"/>
  <c r="J56" i="3"/>
  <c r="I56" i="3"/>
  <c r="X56" i="3"/>
  <c r="H56" i="3"/>
  <c r="V56" i="3"/>
  <c r="F56" i="3"/>
  <c r="U56" i="3"/>
  <c r="E56" i="3"/>
  <c r="T56" i="3"/>
  <c r="D56" i="3"/>
  <c r="S56" i="3"/>
  <c r="Q56" i="3"/>
  <c r="M56" i="3"/>
  <c r="R56" i="3"/>
  <c r="P56" i="3"/>
  <c r="O56" i="3"/>
  <c r="N56" i="3"/>
  <c r="G56" i="3"/>
  <c r="W56" i="3"/>
  <c r="U11" i="3"/>
  <c r="E11" i="3"/>
  <c r="S11" i="3"/>
  <c r="W11" i="3"/>
  <c r="D11" i="3"/>
  <c r="V11" i="3"/>
  <c r="T11" i="3"/>
  <c r="R11" i="3"/>
  <c r="Q11" i="3"/>
  <c r="P11" i="3"/>
  <c r="O11" i="3"/>
  <c r="N11" i="3"/>
  <c r="M11" i="3"/>
  <c r="L11" i="3"/>
  <c r="I11" i="3"/>
  <c r="H11" i="3"/>
  <c r="X11" i="3"/>
  <c r="F11" i="3"/>
  <c r="K11" i="3"/>
  <c r="G11" i="3"/>
  <c r="J11" i="3"/>
  <c r="L78" i="2"/>
  <c r="V111" i="4"/>
  <c r="V139" i="4" s="1"/>
  <c r="U106" i="4"/>
  <c r="U134" i="4" s="1"/>
  <c r="P106" i="4"/>
  <c r="P134" i="4" s="1"/>
  <c r="V109" i="4"/>
  <c r="V137" i="4" s="1"/>
  <c r="U109" i="4"/>
  <c r="U137" i="4" s="1"/>
  <c r="X112" i="4"/>
  <c r="X140" i="4" s="1"/>
  <c r="S112" i="4"/>
  <c r="S140" i="4" s="1"/>
  <c r="E175" i="4"/>
  <c r="E203" i="4" s="1"/>
  <c r="E167" i="4"/>
  <c r="E195" i="4" s="1"/>
  <c r="E180" i="4"/>
  <c r="E208" i="4" s="1"/>
  <c r="E172" i="4"/>
  <c r="E200" i="4" s="1"/>
  <c r="E164" i="4"/>
  <c r="E192" i="4" s="1"/>
  <c r="E177" i="4"/>
  <c r="E205" i="4" s="1"/>
  <c r="E169" i="4"/>
  <c r="E197" i="4" s="1"/>
  <c r="E161" i="4"/>
  <c r="E189" i="4" s="1"/>
  <c r="E179" i="4"/>
  <c r="E207" i="4" s="1"/>
  <c r="E176" i="4"/>
  <c r="E204" i="4" s="1"/>
  <c r="E173" i="4"/>
  <c r="E201" i="4" s="1"/>
  <c r="E166" i="4"/>
  <c r="E194" i="4" s="1"/>
  <c r="E165" i="4"/>
  <c r="E193" i="4" s="1"/>
  <c r="E170" i="4"/>
  <c r="E198" i="4" s="1"/>
  <c r="E178" i="4"/>
  <c r="E206" i="4" s="1"/>
  <c r="E174" i="4"/>
  <c r="E202" i="4" s="1"/>
  <c r="E171" i="4"/>
  <c r="E199" i="4" s="1"/>
  <c r="E181" i="4"/>
  <c r="E209" i="4" s="1"/>
  <c r="E162" i="4"/>
  <c r="E190" i="4" s="1"/>
  <c r="E168" i="4"/>
  <c r="E196" i="4" s="1"/>
  <c r="E163" i="4"/>
  <c r="E191" i="4" s="1"/>
  <c r="M52" i="2"/>
  <c r="L52" i="2"/>
  <c r="K52" i="2"/>
  <c r="J52" i="2"/>
  <c r="I52" i="2"/>
  <c r="X52" i="2"/>
  <c r="H52" i="2"/>
  <c r="W52" i="2"/>
  <c r="G52" i="2"/>
  <c r="V52" i="2"/>
  <c r="F52" i="2"/>
  <c r="U52" i="2"/>
  <c r="E52" i="2"/>
  <c r="T52" i="2"/>
  <c r="D52" i="2"/>
  <c r="O52" i="2"/>
  <c r="N52" i="2"/>
  <c r="Q52" i="2"/>
  <c r="S52" i="2"/>
  <c r="R52" i="2"/>
  <c r="P52" i="2"/>
  <c r="I42" i="2"/>
  <c r="F42" i="2"/>
  <c r="X42" i="2"/>
  <c r="H42" i="2"/>
  <c r="W42" i="2"/>
  <c r="G42" i="2"/>
  <c r="V42" i="2"/>
  <c r="U42" i="2"/>
  <c r="E42" i="2"/>
  <c r="T42" i="2"/>
  <c r="D42" i="2"/>
  <c r="S42" i="2"/>
  <c r="R42" i="2"/>
  <c r="Q42" i="2"/>
  <c r="P42" i="2"/>
  <c r="O42" i="2"/>
  <c r="N42" i="2"/>
  <c r="L42" i="2"/>
  <c r="M42" i="2"/>
  <c r="J42" i="2"/>
  <c r="K42" i="2"/>
  <c r="U40" i="2"/>
  <c r="E40" i="2"/>
  <c r="T40" i="2"/>
  <c r="D40" i="2"/>
  <c r="R40" i="2"/>
  <c r="S40" i="2"/>
  <c r="Q40" i="2"/>
  <c r="P40" i="2"/>
  <c r="O40" i="2"/>
  <c r="N40" i="2"/>
  <c r="M40" i="2"/>
  <c r="L40" i="2"/>
  <c r="W40" i="2"/>
  <c r="H40" i="2"/>
  <c r="V40" i="2"/>
  <c r="F40" i="2"/>
  <c r="K40" i="2"/>
  <c r="J40" i="2"/>
  <c r="I40" i="2"/>
  <c r="G40" i="2"/>
  <c r="X40" i="2"/>
  <c r="O92" i="2"/>
  <c r="N92" i="2"/>
  <c r="M92" i="2"/>
  <c r="L92" i="2"/>
  <c r="K92" i="2"/>
  <c r="X92" i="2"/>
  <c r="W92" i="2"/>
  <c r="V92" i="2"/>
  <c r="U92" i="2"/>
  <c r="T92" i="2"/>
  <c r="S92" i="2"/>
  <c r="R92" i="2"/>
  <c r="Q92" i="2"/>
  <c r="P92" i="2"/>
  <c r="J92" i="2"/>
  <c r="H92" i="2"/>
  <c r="D92" i="2"/>
  <c r="E92" i="2"/>
  <c r="I92" i="2"/>
  <c r="G92" i="2"/>
  <c r="F92" i="2"/>
  <c r="S110" i="2"/>
  <c r="R110" i="2"/>
  <c r="Q110" i="2"/>
  <c r="R166" i="2" s="1"/>
  <c r="P110" i="2"/>
  <c r="O110" i="2"/>
  <c r="N110" i="2"/>
  <c r="M110" i="2"/>
  <c r="K110" i="2"/>
  <c r="U110" i="2"/>
  <c r="T110" i="2"/>
  <c r="L110" i="2"/>
  <c r="J110" i="2"/>
  <c r="I110" i="2"/>
  <c r="H110" i="2"/>
  <c r="G110" i="2"/>
  <c r="F110" i="2"/>
  <c r="E110" i="2"/>
  <c r="D110" i="2"/>
  <c r="V110" i="2"/>
  <c r="X110" i="2"/>
  <c r="W110" i="2"/>
  <c r="W16" i="3"/>
  <c r="G16" i="3"/>
  <c r="U16" i="3"/>
  <c r="E16" i="3"/>
  <c r="T16" i="3"/>
  <c r="D16" i="3"/>
  <c r="S16" i="3"/>
  <c r="P16" i="3"/>
  <c r="K16" i="3"/>
  <c r="J16" i="3"/>
  <c r="I16" i="3"/>
  <c r="H16" i="3"/>
  <c r="F16" i="3"/>
  <c r="X16" i="3"/>
  <c r="V16" i="3"/>
  <c r="Q16" i="3"/>
  <c r="O16" i="3"/>
  <c r="N16" i="3"/>
  <c r="L16" i="3"/>
  <c r="M16" i="3"/>
  <c r="R16" i="3"/>
  <c r="U19" i="3"/>
  <c r="E19" i="3"/>
  <c r="S19" i="3"/>
  <c r="R19" i="3"/>
  <c r="Q19" i="3"/>
  <c r="N19" i="3"/>
  <c r="M19" i="3"/>
  <c r="L19" i="3"/>
  <c r="K19" i="3"/>
  <c r="J19" i="3"/>
  <c r="I19" i="3"/>
  <c r="H19" i="3"/>
  <c r="G19" i="3"/>
  <c r="F19" i="3"/>
  <c r="D19" i="3"/>
  <c r="W19" i="3"/>
  <c r="V19" i="3"/>
  <c r="T19" i="3"/>
  <c r="O19" i="3"/>
  <c r="X19" i="3"/>
  <c r="P19" i="3"/>
  <c r="N70" i="2"/>
  <c r="H24" i="2"/>
  <c r="G27" i="2"/>
  <c r="W37" i="2"/>
  <c r="G37" i="2"/>
  <c r="D37" i="2"/>
  <c r="V37" i="2"/>
  <c r="F37" i="2"/>
  <c r="U37" i="2"/>
  <c r="E37" i="2"/>
  <c r="T37" i="2"/>
  <c r="S37" i="2"/>
  <c r="R37" i="2"/>
  <c r="Q37" i="2"/>
  <c r="P37" i="2"/>
  <c r="O37" i="2"/>
  <c r="N37" i="2"/>
  <c r="M37" i="2"/>
  <c r="K37" i="2"/>
  <c r="X37" i="2"/>
  <c r="L37" i="2"/>
  <c r="J37" i="2"/>
  <c r="I37" i="2"/>
  <c r="H37" i="2"/>
  <c r="W24" i="3"/>
  <c r="G24" i="3"/>
  <c r="V24" i="3"/>
  <c r="U24" i="3"/>
  <c r="E24" i="3"/>
  <c r="T24" i="3"/>
  <c r="D24" i="3"/>
  <c r="S24" i="3"/>
  <c r="P24" i="3"/>
  <c r="X24" i="3"/>
  <c r="R24" i="3"/>
  <c r="Q24" i="3"/>
  <c r="O24" i="3"/>
  <c r="N24" i="3"/>
  <c r="M24" i="3"/>
  <c r="L24" i="3"/>
  <c r="K24" i="3"/>
  <c r="J24" i="3"/>
  <c r="I24" i="3"/>
  <c r="F24" i="3"/>
  <c r="H24" i="3"/>
  <c r="G180" i="4"/>
  <c r="G208" i="4" s="1"/>
  <c r="G172" i="4"/>
  <c r="G200" i="4" s="1"/>
  <c r="G164" i="4"/>
  <c r="G192" i="4" s="1"/>
  <c r="G177" i="4"/>
  <c r="G205" i="4" s="1"/>
  <c r="G169" i="4"/>
  <c r="G197" i="4" s="1"/>
  <c r="G161" i="4"/>
  <c r="G189" i="4" s="1"/>
  <c r="G174" i="4"/>
  <c r="G202" i="4" s="1"/>
  <c r="G166" i="4"/>
  <c r="G194" i="4" s="1"/>
  <c r="G179" i="4"/>
  <c r="G207" i="4" s="1"/>
  <c r="G176" i="4"/>
  <c r="G204" i="4" s="1"/>
  <c r="G181" i="4"/>
  <c r="G209" i="4" s="1"/>
  <c r="G173" i="4"/>
  <c r="G201" i="4" s="1"/>
  <c r="G165" i="4"/>
  <c r="G193" i="4" s="1"/>
  <c r="G170" i="4"/>
  <c r="G198" i="4" s="1"/>
  <c r="G178" i="4"/>
  <c r="G206" i="4" s="1"/>
  <c r="G171" i="4"/>
  <c r="G199" i="4" s="1"/>
  <c r="G167" i="4"/>
  <c r="G195" i="4" s="1"/>
  <c r="G168" i="4"/>
  <c r="G196" i="4" s="1"/>
  <c r="G162" i="4"/>
  <c r="G190" i="4" s="1"/>
  <c r="G175" i="4"/>
  <c r="G203" i="4" s="1"/>
  <c r="G163" i="4"/>
  <c r="G191" i="4" s="1"/>
  <c r="W110" i="4"/>
  <c r="W138" i="4" s="1"/>
  <c r="P163" i="4"/>
  <c r="P191" i="4" s="1"/>
  <c r="O163" i="4"/>
  <c r="O191" i="4" s="1"/>
  <c r="X163" i="4"/>
  <c r="X191" i="4" s="1"/>
  <c r="R14" i="2"/>
  <c r="K121" i="2"/>
  <c r="J121" i="2"/>
  <c r="N121" i="2"/>
  <c r="M121" i="2"/>
  <c r="L121" i="2"/>
  <c r="I121" i="2"/>
  <c r="H121" i="2"/>
  <c r="G121" i="2"/>
  <c r="X121" i="2"/>
  <c r="F121" i="2"/>
  <c r="W121" i="2"/>
  <c r="E121" i="2"/>
  <c r="V121" i="2"/>
  <c r="D121" i="2"/>
  <c r="U121" i="2"/>
  <c r="Q121" i="2"/>
  <c r="T121" i="2"/>
  <c r="S121" i="2"/>
  <c r="R121" i="2"/>
  <c r="P121" i="2"/>
  <c r="O121" i="2"/>
  <c r="W53" i="2"/>
  <c r="W80" i="2" s="1"/>
  <c r="G53" i="2"/>
  <c r="V53" i="2"/>
  <c r="F53" i="2"/>
  <c r="U53" i="2"/>
  <c r="E53" i="2"/>
  <c r="T53" i="2"/>
  <c r="D53" i="2"/>
  <c r="S53" i="2"/>
  <c r="R53" i="2"/>
  <c r="Q53" i="2"/>
  <c r="P53" i="2"/>
  <c r="P80" i="2" s="1"/>
  <c r="O53" i="2"/>
  <c r="N53" i="2"/>
  <c r="N80" i="2" s="1"/>
  <c r="X53" i="2"/>
  <c r="L53" i="2"/>
  <c r="M53" i="2"/>
  <c r="J53" i="2"/>
  <c r="I53" i="2"/>
  <c r="K53" i="2"/>
  <c r="K80" i="2" s="1"/>
  <c r="H53" i="2"/>
  <c r="I140" i="2"/>
  <c r="X140" i="2"/>
  <c r="H140" i="2"/>
  <c r="W140" i="2"/>
  <c r="G140" i="2"/>
  <c r="V140" i="2"/>
  <c r="F140" i="2"/>
  <c r="U140" i="2"/>
  <c r="E140" i="2"/>
  <c r="T140" i="2"/>
  <c r="D140" i="2"/>
  <c r="S140" i="2"/>
  <c r="R140" i="2"/>
  <c r="Q140" i="2"/>
  <c r="P140" i="2"/>
  <c r="O140" i="2"/>
  <c r="N140" i="2"/>
  <c r="M140" i="2"/>
  <c r="L140" i="2"/>
  <c r="K140" i="2"/>
  <c r="J140" i="2"/>
  <c r="O131" i="2"/>
  <c r="N131" i="2"/>
  <c r="M131" i="2"/>
  <c r="X131" i="2"/>
  <c r="H131" i="2"/>
  <c r="I131" i="2"/>
  <c r="G131" i="2"/>
  <c r="F131" i="2"/>
  <c r="E131" i="2"/>
  <c r="D131" i="2"/>
  <c r="W131" i="2"/>
  <c r="V131" i="2"/>
  <c r="U131" i="2"/>
  <c r="T131" i="2"/>
  <c r="S131" i="2"/>
  <c r="Q131" i="2"/>
  <c r="L131" i="2"/>
  <c r="J131" i="2"/>
  <c r="K131" i="2"/>
  <c r="P131" i="2"/>
  <c r="R131" i="2"/>
  <c r="M15" i="3"/>
  <c r="K15" i="3"/>
  <c r="V15" i="3"/>
  <c r="F15" i="3"/>
  <c r="J15" i="3"/>
  <c r="I15" i="3"/>
  <c r="H15" i="3"/>
  <c r="G15" i="3"/>
  <c r="E15" i="3"/>
  <c r="X15" i="3"/>
  <c r="D15" i="3"/>
  <c r="W15" i="3"/>
  <c r="U15" i="3"/>
  <c r="T15" i="3"/>
  <c r="S15" i="3"/>
  <c r="P15" i="3"/>
  <c r="O15" i="3"/>
  <c r="L15" i="3"/>
  <c r="Q15" i="3"/>
  <c r="R15" i="3"/>
  <c r="N15" i="3"/>
  <c r="R39" i="3"/>
  <c r="Q39" i="3"/>
  <c r="P39" i="3"/>
  <c r="O39" i="3"/>
  <c r="N39" i="3"/>
  <c r="L39" i="3"/>
  <c r="K39" i="3"/>
  <c r="I39" i="3"/>
  <c r="W39" i="3"/>
  <c r="G39" i="3"/>
  <c r="E39" i="3"/>
  <c r="D39" i="3"/>
  <c r="X39" i="3"/>
  <c r="V39" i="3"/>
  <c r="U39" i="3"/>
  <c r="S39" i="3"/>
  <c r="M39" i="3"/>
  <c r="J39" i="3"/>
  <c r="F39" i="3"/>
  <c r="H39" i="3"/>
  <c r="T39" i="3"/>
  <c r="D22" i="2"/>
  <c r="Q49" i="2"/>
  <c r="D14" i="2"/>
  <c r="X27" i="2"/>
  <c r="W45" i="2"/>
  <c r="G45" i="2"/>
  <c r="V45" i="2"/>
  <c r="F45" i="2"/>
  <c r="U45" i="2"/>
  <c r="E45" i="2"/>
  <c r="T45" i="2"/>
  <c r="D45" i="2"/>
  <c r="S45" i="2"/>
  <c r="R45" i="2"/>
  <c r="Q45" i="2"/>
  <c r="P45" i="2"/>
  <c r="O45" i="2"/>
  <c r="N45" i="2"/>
  <c r="X45" i="2"/>
  <c r="L45" i="2"/>
  <c r="M45" i="2"/>
  <c r="J45" i="2"/>
  <c r="J72" i="2" s="1"/>
  <c r="I45" i="2"/>
  <c r="H45" i="2"/>
  <c r="K45" i="2"/>
  <c r="K72" i="2" s="1"/>
  <c r="J80" i="2"/>
  <c r="E123" i="4"/>
  <c r="E151" i="4" s="1"/>
  <c r="E115" i="4"/>
  <c r="E143" i="4" s="1"/>
  <c r="E107" i="4"/>
  <c r="E135" i="4" s="1"/>
  <c r="E120" i="4"/>
  <c r="E148" i="4" s="1"/>
  <c r="E112" i="4"/>
  <c r="E140" i="4" s="1"/>
  <c r="E125" i="4"/>
  <c r="E153" i="4" s="1"/>
  <c r="E122" i="4"/>
  <c r="E150" i="4" s="1"/>
  <c r="E114" i="4"/>
  <c r="E142" i="4" s="1"/>
  <c r="E106" i="4"/>
  <c r="E134" i="4" s="1"/>
  <c r="E111" i="4"/>
  <c r="E139" i="4" s="1"/>
  <c r="E110" i="4"/>
  <c r="E138" i="4" s="1"/>
  <c r="E116" i="4"/>
  <c r="E144" i="4" s="1"/>
  <c r="E124" i="4"/>
  <c r="E152" i="4" s="1"/>
  <c r="E121" i="4"/>
  <c r="E149" i="4" s="1"/>
  <c r="E117" i="4"/>
  <c r="E145" i="4" s="1"/>
  <c r="E118" i="4"/>
  <c r="E146" i="4" s="1"/>
  <c r="E119" i="4"/>
  <c r="E147" i="4" s="1"/>
  <c r="E105" i="4"/>
  <c r="E133" i="4" s="1"/>
  <c r="E109" i="4"/>
  <c r="E137" i="4" s="1"/>
  <c r="E113" i="4"/>
  <c r="E141" i="4" s="1"/>
  <c r="E108" i="4"/>
  <c r="E136" i="4" s="1"/>
  <c r="S107" i="4"/>
  <c r="S135" i="4" s="1"/>
  <c r="T109" i="4"/>
  <c r="T137" i="4" s="1"/>
  <c r="Q108" i="4"/>
  <c r="Q136" i="4" s="1"/>
  <c r="P109" i="4"/>
  <c r="P137" i="4" s="1"/>
  <c r="D123" i="4"/>
  <c r="D151" i="4" s="1"/>
  <c r="F120" i="4"/>
  <c r="F148" i="4" s="1"/>
  <c r="D115" i="4"/>
  <c r="D143" i="4" s="1"/>
  <c r="F112" i="4"/>
  <c r="F140" i="4" s="1"/>
  <c r="D107" i="4"/>
  <c r="D135" i="4" s="1"/>
  <c r="F125" i="4"/>
  <c r="F153" i="4" s="1"/>
  <c r="D120" i="4"/>
  <c r="D148" i="4" s="1"/>
  <c r="F117" i="4"/>
  <c r="F145" i="4" s="1"/>
  <c r="D112" i="4"/>
  <c r="D140" i="4" s="1"/>
  <c r="D125" i="4"/>
  <c r="D153" i="4" s="1"/>
  <c r="F122" i="4"/>
  <c r="F150" i="4" s="1"/>
  <c r="D117" i="4"/>
  <c r="D145" i="4" s="1"/>
  <c r="F114" i="4"/>
  <c r="F142" i="4" s="1"/>
  <c r="D109" i="4"/>
  <c r="D137" i="4" s="1"/>
  <c r="F106" i="4"/>
  <c r="F134" i="4" s="1"/>
  <c r="D122" i="4"/>
  <c r="D150" i="4" s="1"/>
  <c r="F119" i="4"/>
  <c r="F147" i="4" s="1"/>
  <c r="D114" i="4"/>
  <c r="D142" i="4" s="1"/>
  <c r="F111" i="4"/>
  <c r="F139" i="4" s="1"/>
  <c r="F124" i="4"/>
  <c r="F152" i="4" s="1"/>
  <c r="F110" i="4"/>
  <c r="F138" i="4" s="1"/>
  <c r="F123" i="4"/>
  <c r="F151" i="4" s="1"/>
  <c r="F115" i="4"/>
  <c r="F143" i="4" s="1"/>
  <c r="F116" i="4"/>
  <c r="F144" i="4" s="1"/>
  <c r="D111" i="4"/>
  <c r="D139" i="4" s="1"/>
  <c r="D110" i="4"/>
  <c r="D138" i="4" s="1"/>
  <c r="F121" i="4"/>
  <c r="F149" i="4" s="1"/>
  <c r="D116" i="4"/>
  <c r="D144" i="4" s="1"/>
  <c r="D124" i="4"/>
  <c r="D152" i="4" s="1"/>
  <c r="D121" i="4"/>
  <c r="D149" i="4" s="1"/>
  <c r="F113" i="4"/>
  <c r="F141" i="4" s="1"/>
  <c r="F105" i="4"/>
  <c r="F133" i="4" s="1"/>
  <c r="D113" i="4"/>
  <c r="D141" i="4" s="1"/>
  <c r="F108" i="4"/>
  <c r="F136" i="4" s="1"/>
  <c r="D105" i="4"/>
  <c r="D133" i="4" s="1"/>
  <c r="D118" i="4"/>
  <c r="D146" i="4" s="1"/>
  <c r="D119" i="4"/>
  <c r="D147" i="4" s="1"/>
  <c r="D108" i="4"/>
  <c r="D136" i="4" s="1"/>
  <c r="F109" i="4"/>
  <c r="F137" i="4" s="1"/>
  <c r="F118" i="4"/>
  <c r="F146" i="4" s="1"/>
  <c r="F107" i="4"/>
  <c r="F135" i="4" s="1"/>
  <c r="D106" i="4"/>
  <c r="D134" i="4" s="1"/>
  <c r="J177" i="4"/>
  <c r="J205" i="4" s="1"/>
  <c r="J169" i="4"/>
  <c r="J197" i="4" s="1"/>
  <c r="J161" i="4"/>
  <c r="J189" i="4" s="1"/>
  <c r="J174" i="4"/>
  <c r="J202" i="4" s="1"/>
  <c r="J166" i="4"/>
  <c r="J194" i="4" s="1"/>
  <c r="J179" i="4"/>
  <c r="J207" i="4" s="1"/>
  <c r="J171" i="4"/>
  <c r="J199" i="4" s="1"/>
  <c r="J163" i="4"/>
  <c r="J191" i="4" s="1"/>
  <c r="J176" i="4"/>
  <c r="J204" i="4" s="1"/>
  <c r="J168" i="4"/>
  <c r="J196" i="4" s="1"/>
  <c r="J175" i="4"/>
  <c r="J203" i="4" s="1"/>
  <c r="J170" i="4"/>
  <c r="J198" i="4" s="1"/>
  <c r="J167" i="4"/>
  <c r="J195" i="4" s="1"/>
  <c r="J178" i="4"/>
  <c r="J206" i="4" s="1"/>
  <c r="J180" i="4"/>
  <c r="J208" i="4" s="1"/>
  <c r="J162" i="4"/>
  <c r="J190" i="4" s="1"/>
  <c r="J181" i="4"/>
  <c r="J209" i="4" s="1"/>
  <c r="J165" i="4"/>
  <c r="J193" i="4" s="1"/>
  <c r="J164" i="4"/>
  <c r="J192" i="4" s="1"/>
  <c r="J173" i="4"/>
  <c r="J201" i="4" s="1"/>
  <c r="J172" i="4"/>
  <c r="J200" i="4" s="1"/>
  <c r="P8" i="2"/>
  <c r="O8" i="2"/>
  <c r="N8" i="2"/>
  <c r="M8" i="2"/>
  <c r="N64" i="2" s="1"/>
  <c r="L8" i="2"/>
  <c r="J8" i="2"/>
  <c r="X8" i="2"/>
  <c r="H8" i="2"/>
  <c r="I64" i="2" s="1"/>
  <c r="G8" i="2"/>
  <c r="E8" i="2"/>
  <c r="K8" i="2"/>
  <c r="F8" i="2"/>
  <c r="W8" i="2"/>
  <c r="X64" i="2" s="1"/>
  <c r="T8" i="2"/>
  <c r="D8" i="2"/>
  <c r="U8" i="2"/>
  <c r="R8" i="2"/>
  <c r="V8" i="2"/>
  <c r="S8" i="2"/>
  <c r="Q8" i="2"/>
  <c r="I8" i="2"/>
  <c r="U11" i="2"/>
  <c r="R24" i="2"/>
  <c r="J17" i="2"/>
  <c r="G17" i="2"/>
  <c r="I17" i="2"/>
  <c r="W17" i="2"/>
  <c r="X17" i="2"/>
  <c r="H17" i="2"/>
  <c r="V17" i="2"/>
  <c r="F17" i="2"/>
  <c r="U17" i="2"/>
  <c r="E17" i="2"/>
  <c r="T17" i="2"/>
  <c r="D17" i="2"/>
  <c r="S17" i="2"/>
  <c r="R17" i="2"/>
  <c r="P17" i="2"/>
  <c r="O17" i="2"/>
  <c r="K17" i="2"/>
  <c r="Q17" i="2"/>
  <c r="N17" i="2"/>
  <c r="M17" i="2"/>
  <c r="L17" i="2"/>
  <c r="U99" i="2"/>
  <c r="E99" i="2"/>
  <c r="T99" i="2"/>
  <c r="D99" i="2"/>
  <c r="S99" i="2"/>
  <c r="R99" i="2"/>
  <c r="Q99" i="2"/>
  <c r="P99" i="2"/>
  <c r="M99" i="2"/>
  <c r="X99" i="2"/>
  <c r="W99" i="2"/>
  <c r="V99" i="2"/>
  <c r="W155" i="2" s="1"/>
  <c r="O99" i="2"/>
  <c r="N99" i="2"/>
  <c r="L99" i="2"/>
  <c r="K99" i="2"/>
  <c r="J99" i="2"/>
  <c r="I99" i="2"/>
  <c r="H99" i="2"/>
  <c r="F99" i="2"/>
  <c r="G99" i="2"/>
  <c r="X38" i="3"/>
  <c r="H38" i="3"/>
  <c r="W38" i="3"/>
  <c r="G38" i="3"/>
  <c r="V38" i="3"/>
  <c r="F38" i="3"/>
  <c r="U38" i="3"/>
  <c r="E38" i="3"/>
  <c r="T38" i="3"/>
  <c r="D38" i="3"/>
  <c r="R38" i="3"/>
  <c r="Q38" i="3"/>
  <c r="O38" i="3"/>
  <c r="M38" i="3"/>
  <c r="S38" i="3"/>
  <c r="P38" i="3"/>
  <c r="N38" i="3"/>
  <c r="L38" i="3"/>
  <c r="K38" i="3"/>
  <c r="J38" i="3"/>
  <c r="I38" i="3"/>
  <c r="K18" i="3"/>
  <c r="I18" i="3"/>
  <c r="X18" i="3"/>
  <c r="H18" i="3"/>
  <c r="W18" i="3"/>
  <c r="G18" i="3"/>
  <c r="T18" i="3"/>
  <c r="D18" i="3"/>
  <c r="N18" i="3"/>
  <c r="M18" i="3"/>
  <c r="L18" i="3"/>
  <c r="J18" i="3"/>
  <c r="F18" i="3"/>
  <c r="E18" i="3"/>
  <c r="V18" i="3"/>
  <c r="S18" i="3"/>
  <c r="R18" i="3"/>
  <c r="Q18" i="3"/>
  <c r="O18" i="3"/>
  <c r="U18" i="3"/>
  <c r="P18" i="3"/>
  <c r="J43" i="3"/>
  <c r="I43" i="3"/>
  <c r="X43" i="3"/>
  <c r="H43" i="3"/>
  <c r="W43" i="3"/>
  <c r="G43" i="3"/>
  <c r="V43" i="3"/>
  <c r="F43" i="3"/>
  <c r="T43" i="3"/>
  <c r="D43" i="3"/>
  <c r="S43" i="3"/>
  <c r="R43" i="3"/>
  <c r="Q43" i="3"/>
  <c r="O43" i="3"/>
  <c r="K43" i="3"/>
  <c r="U43" i="3"/>
  <c r="N43" i="3"/>
  <c r="M43" i="3"/>
  <c r="L43" i="3"/>
  <c r="E43" i="3"/>
  <c r="P43" i="3"/>
  <c r="T22" i="2"/>
  <c r="M36" i="2"/>
  <c r="L36" i="2"/>
  <c r="K36" i="2"/>
  <c r="J36" i="2"/>
  <c r="I36" i="2"/>
  <c r="X36" i="2"/>
  <c r="H36" i="2"/>
  <c r="W36" i="2"/>
  <c r="G36" i="2"/>
  <c r="V36" i="2"/>
  <c r="F36" i="2"/>
  <c r="U36" i="2"/>
  <c r="E36" i="2"/>
  <c r="T36" i="2"/>
  <c r="D36" i="2"/>
  <c r="S36" i="2"/>
  <c r="R36" i="2"/>
  <c r="Q36" i="2"/>
  <c r="P36" i="2"/>
  <c r="O36" i="2"/>
  <c r="N36" i="2"/>
  <c r="D49" i="2"/>
  <c r="T14" i="2"/>
  <c r="U70" i="2" s="1"/>
  <c r="L80" i="2"/>
  <c r="P16" i="2"/>
  <c r="O72" i="2" s="1"/>
  <c r="O123" i="2"/>
  <c r="N123" i="2"/>
  <c r="X123" i="2"/>
  <c r="F123" i="2"/>
  <c r="W123" i="2"/>
  <c r="E123" i="2"/>
  <c r="V123" i="2"/>
  <c r="D123" i="2"/>
  <c r="U123" i="2"/>
  <c r="T123" i="2"/>
  <c r="S123" i="2"/>
  <c r="R123" i="2"/>
  <c r="Q123" i="2"/>
  <c r="P123" i="2"/>
  <c r="M123" i="2"/>
  <c r="K123" i="2"/>
  <c r="I123" i="2"/>
  <c r="J123" i="2"/>
  <c r="L123" i="2"/>
  <c r="H123" i="2"/>
  <c r="G123" i="2"/>
  <c r="I21" i="3"/>
  <c r="W21" i="3"/>
  <c r="G21" i="3"/>
  <c r="V21" i="3"/>
  <c r="F21" i="3"/>
  <c r="U21" i="3"/>
  <c r="E21" i="3"/>
  <c r="R21" i="3"/>
  <c r="P21" i="3"/>
  <c r="O21" i="3"/>
  <c r="N21" i="3"/>
  <c r="M21" i="3"/>
  <c r="L21" i="3"/>
  <c r="K21" i="3"/>
  <c r="J21" i="3"/>
  <c r="H21" i="3"/>
  <c r="D21" i="3"/>
  <c r="X21" i="3"/>
  <c r="T21" i="3"/>
  <c r="Q21" i="3"/>
  <c r="S21" i="3"/>
  <c r="R55" i="3"/>
  <c r="Q55" i="3"/>
  <c r="P55" i="3"/>
  <c r="O55" i="3"/>
  <c r="N55" i="3"/>
  <c r="L55" i="3"/>
  <c r="K55" i="3"/>
  <c r="J55" i="3"/>
  <c r="I55" i="3"/>
  <c r="W55" i="3"/>
  <c r="G55" i="3"/>
  <c r="S55" i="3"/>
  <c r="X55" i="3"/>
  <c r="V55" i="3"/>
  <c r="U55" i="3"/>
  <c r="T55" i="3"/>
  <c r="M55" i="3"/>
  <c r="F55" i="3"/>
  <c r="E55" i="3"/>
  <c r="D55" i="3"/>
  <c r="H55" i="3"/>
  <c r="Q46" i="2"/>
  <c r="P46" i="2"/>
  <c r="O46" i="2"/>
  <c r="N46" i="2"/>
  <c r="M46" i="2"/>
  <c r="L46" i="2"/>
  <c r="K46" i="2"/>
  <c r="J46" i="2"/>
  <c r="I46" i="2"/>
  <c r="X46" i="2"/>
  <c r="H46" i="2"/>
  <c r="S46" i="2"/>
  <c r="U46" i="2"/>
  <c r="U75" i="2" s="1"/>
  <c r="R46" i="2"/>
  <c r="D46" i="2"/>
  <c r="G46" i="2"/>
  <c r="G75" i="2" s="1"/>
  <c r="F46" i="2"/>
  <c r="W46" i="2"/>
  <c r="E46" i="2"/>
  <c r="V46" i="2"/>
  <c r="T46" i="2"/>
  <c r="W109" i="4"/>
  <c r="W137" i="4" s="1"/>
  <c r="Q109" i="4"/>
  <c r="Q137" i="4" s="1"/>
  <c r="W108" i="4"/>
  <c r="W136" i="4" s="1"/>
  <c r="U112" i="4"/>
  <c r="U140" i="4" s="1"/>
  <c r="P108" i="4"/>
  <c r="P136" i="4" s="1"/>
  <c r="S163" i="4"/>
  <c r="S191" i="4" s="1"/>
  <c r="J122" i="4"/>
  <c r="J150" i="4" s="1"/>
  <c r="J114" i="4"/>
  <c r="J142" i="4" s="1"/>
  <c r="J106" i="4"/>
  <c r="J134" i="4" s="1"/>
  <c r="J119" i="4"/>
  <c r="J147" i="4" s="1"/>
  <c r="J124" i="4"/>
  <c r="J152" i="4" s="1"/>
  <c r="J116" i="4"/>
  <c r="J144" i="4" s="1"/>
  <c r="J108" i="4"/>
  <c r="J136" i="4" s="1"/>
  <c r="J121" i="4"/>
  <c r="J149" i="4" s="1"/>
  <c r="J113" i="4"/>
  <c r="J141" i="4" s="1"/>
  <c r="J111" i="4"/>
  <c r="J139" i="4" s="1"/>
  <c r="J112" i="4"/>
  <c r="J140" i="4" s="1"/>
  <c r="J105" i="4"/>
  <c r="J133" i="4" s="1"/>
  <c r="J118" i="4"/>
  <c r="J146" i="4" s="1"/>
  <c r="J117" i="4"/>
  <c r="J145" i="4" s="1"/>
  <c r="J107" i="4"/>
  <c r="J135" i="4" s="1"/>
  <c r="J125" i="4"/>
  <c r="J153" i="4" s="1"/>
  <c r="J110" i="4"/>
  <c r="J138" i="4" s="1"/>
  <c r="J109" i="4"/>
  <c r="J137" i="4" s="1"/>
  <c r="J115" i="4"/>
  <c r="J143" i="4" s="1"/>
  <c r="J120" i="4"/>
  <c r="J148" i="4" s="1"/>
  <c r="J123" i="4"/>
  <c r="J151" i="4" s="1"/>
  <c r="X108" i="4"/>
  <c r="X136" i="4" s="1"/>
  <c r="V108" i="4"/>
  <c r="V136" i="4" s="1"/>
  <c r="U108" i="4"/>
  <c r="U136" i="4" s="1"/>
  <c r="T108" i="4"/>
  <c r="T136" i="4" s="1"/>
  <c r="S108" i="4"/>
  <c r="S136" i="4" s="1"/>
  <c r="R108" i="4"/>
  <c r="R136" i="4" s="1"/>
  <c r="O162" i="4"/>
  <c r="O190" i="4" s="1"/>
  <c r="P161" i="4"/>
  <c r="P189" i="4" s="1"/>
  <c r="O161" i="4"/>
  <c r="O189" i="4" s="1"/>
  <c r="N162" i="4"/>
  <c r="N190" i="4" s="1"/>
  <c r="N161" i="4"/>
  <c r="N189" i="4" s="1"/>
  <c r="M162" i="4"/>
  <c r="M190" i="4" s="1"/>
  <c r="M161" i="4"/>
  <c r="M189" i="4" s="1"/>
  <c r="L162" i="4"/>
  <c r="L190" i="4" s="1"/>
  <c r="L161" i="4"/>
  <c r="L189" i="4" s="1"/>
  <c r="X162" i="4"/>
  <c r="X190" i="4" s="1"/>
  <c r="T24" i="2"/>
  <c r="P14" i="2"/>
  <c r="J25" i="2"/>
  <c r="G25" i="2"/>
  <c r="I25" i="2"/>
  <c r="W25" i="2"/>
  <c r="X25" i="2"/>
  <c r="H25" i="2"/>
  <c r="V25" i="2"/>
  <c r="F25" i="2"/>
  <c r="U25" i="2"/>
  <c r="E25" i="2"/>
  <c r="T25" i="2"/>
  <c r="D25" i="2"/>
  <c r="S25" i="2"/>
  <c r="R25" i="2"/>
  <c r="L25" i="2"/>
  <c r="K25" i="2"/>
  <c r="N25" i="2"/>
  <c r="P25" i="2"/>
  <c r="Q25" i="2"/>
  <c r="O25" i="2"/>
  <c r="M25" i="2"/>
  <c r="M95" i="2"/>
  <c r="L95" i="2"/>
  <c r="K95" i="2"/>
  <c r="J95" i="2"/>
  <c r="I95" i="2"/>
  <c r="X95" i="2"/>
  <c r="E95" i="2"/>
  <c r="D95" i="2"/>
  <c r="W95" i="2"/>
  <c r="V95" i="2"/>
  <c r="U95" i="2"/>
  <c r="T95" i="2"/>
  <c r="S95" i="2"/>
  <c r="R95" i="2"/>
  <c r="Q95" i="2"/>
  <c r="O95" i="2"/>
  <c r="F95" i="2"/>
  <c r="N95" i="2"/>
  <c r="H95" i="2"/>
  <c r="P95" i="2"/>
  <c r="G95" i="2"/>
  <c r="I101" i="2"/>
  <c r="X101" i="2"/>
  <c r="H101" i="2"/>
  <c r="W101" i="2"/>
  <c r="G101" i="2"/>
  <c r="V101" i="2"/>
  <c r="F101" i="2"/>
  <c r="U101" i="2"/>
  <c r="E101" i="2"/>
  <c r="T101" i="2"/>
  <c r="D101" i="2"/>
  <c r="Q101" i="2"/>
  <c r="J101" i="2"/>
  <c r="S101" i="2"/>
  <c r="R101" i="2"/>
  <c r="O101" i="2"/>
  <c r="P157" i="2" s="1"/>
  <c r="K101" i="2"/>
  <c r="P101" i="2"/>
  <c r="N101" i="2"/>
  <c r="M101" i="2"/>
  <c r="L101" i="2"/>
  <c r="U107" i="2"/>
  <c r="E107" i="2"/>
  <c r="T107" i="2"/>
  <c r="D107" i="2"/>
  <c r="S107" i="2"/>
  <c r="R107" i="2"/>
  <c r="Q107" i="2"/>
  <c r="P107" i="2"/>
  <c r="O107" i="2"/>
  <c r="M107" i="2"/>
  <c r="W107" i="2"/>
  <c r="V107" i="2"/>
  <c r="N107" i="2"/>
  <c r="L107" i="2"/>
  <c r="K107" i="2"/>
  <c r="J107" i="2"/>
  <c r="I107" i="2"/>
  <c r="H107" i="2"/>
  <c r="G107" i="2"/>
  <c r="F107" i="2"/>
  <c r="X107" i="2"/>
  <c r="O28" i="3"/>
  <c r="N28" i="3"/>
  <c r="M28" i="3"/>
  <c r="L28" i="3"/>
  <c r="K28" i="3"/>
  <c r="X28" i="3"/>
  <c r="H28" i="3"/>
  <c r="T28" i="3"/>
  <c r="D28" i="3"/>
  <c r="P28" i="3"/>
  <c r="J28" i="3"/>
  <c r="I28" i="3"/>
  <c r="G28" i="3"/>
  <c r="F28" i="3"/>
  <c r="E28" i="3"/>
  <c r="V28" i="3"/>
  <c r="U28" i="3"/>
  <c r="S28" i="3"/>
  <c r="Q28" i="3"/>
  <c r="W28" i="3"/>
  <c r="R28" i="3"/>
  <c r="U130" i="2"/>
  <c r="E130" i="2"/>
  <c r="T130" i="2"/>
  <c r="D130" i="2"/>
  <c r="S130" i="2"/>
  <c r="N130" i="2"/>
  <c r="J130" i="2"/>
  <c r="I130" i="2"/>
  <c r="H130" i="2"/>
  <c r="G130" i="2"/>
  <c r="F130" i="2"/>
  <c r="X130" i="2"/>
  <c r="W130" i="2"/>
  <c r="V130" i="2"/>
  <c r="R130" i="2"/>
  <c r="P130" i="2"/>
  <c r="M130" i="2"/>
  <c r="K130" i="2"/>
  <c r="Q130" i="2"/>
  <c r="O130" i="2"/>
  <c r="L130" i="2"/>
  <c r="J51" i="3"/>
  <c r="I51" i="3"/>
  <c r="X51" i="3"/>
  <c r="H51" i="3"/>
  <c r="W51" i="3"/>
  <c r="G51" i="3"/>
  <c r="V51" i="3"/>
  <c r="F51" i="3"/>
  <c r="T51" i="3"/>
  <c r="D51" i="3"/>
  <c r="S51" i="3"/>
  <c r="R51" i="3"/>
  <c r="Q51" i="3"/>
  <c r="O51" i="3"/>
  <c r="K51" i="3"/>
  <c r="U51" i="3"/>
  <c r="P51" i="3"/>
  <c r="N51" i="3"/>
  <c r="M51" i="3"/>
  <c r="L51" i="3"/>
  <c r="E51" i="3"/>
  <c r="E22" i="2"/>
  <c r="S24" i="2"/>
  <c r="R80" i="2" s="1"/>
  <c r="Q38" i="2"/>
  <c r="P38" i="2"/>
  <c r="P67" i="2" s="1"/>
  <c r="N38" i="2"/>
  <c r="O38" i="2"/>
  <c r="O67" i="2" s="1"/>
  <c r="M38" i="2"/>
  <c r="L38" i="2"/>
  <c r="L67" i="2" s="1"/>
  <c r="K38" i="2"/>
  <c r="K67" i="2" s="1"/>
  <c r="J38" i="2"/>
  <c r="J67" i="2" s="1"/>
  <c r="I38" i="2"/>
  <c r="X38" i="2"/>
  <c r="X67" i="2" s="1"/>
  <c r="H38" i="2"/>
  <c r="U38" i="2"/>
  <c r="U67" i="2" s="1"/>
  <c r="T38" i="2"/>
  <c r="F38" i="2"/>
  <c r="F67" i="2" s="1"/>
  <c r="W38" i="2"/>
  <c r="S38" i="2"/>
  <c r="R38" i="2"/>
  <c r="G38" i="2"/>
  <c r="G67" i="2" s="1"/>
  <c r="E38" i="2"/>
  <c r="D38" i="2"/>
  <c r="D67" i="2" s="1"/>
  <c r="V38" i="2"/>
  <c r="E14" i="2"/>
  <c r="M80" i="2"/>
  <c r="D19" i="2"/>
  <c r="W107" i="4"/>
  <c r="W135" i="4" s="1"/>
  <c r="Q162" i="4"/>
  <c r="Q190" i="4" s="1"/>
  <c r="I125" i="4"/>
  <c r="I153" i="4" s="1"/>
  <c r="I117" i="4"/>
  <c r="I145" i="4" s="1"/>
  <c r="I109" i="4"/>
  <c r="I137" i="4" s="1"/>
  <c r="I122" i="4"/>
  <c r="I150" i="4" s="1"/>
  <c r="I114" i="4"/>
  <c r="I142" i="4" s="1"/>
  <c r="I106" i="4"/>
  <c r="I134" i="4" s="1"/>
  <c r="I124" i="4"/>
  <c r="I152" i="4" s="1"/>
  <c r="I116" i="4"/>
  <c r="I144" i="4" s="1"/>
  <c r="I108" i="4"/>
  <c r="I136" i="4" s="1"/>
  <c r="I120" i="4"/>
  <c r="I148" i="4" s="1"/>
  <c r="I111" i="4"/>
  <c r="I139" i="4" s="1"/>
  <c r="I121" i="4"/>
  <c r="I149" i="4" s="1"/>
  <c r="I112" i="4"/>
  <c r="I140" i="4" s="1"/>
  <c r="I113" i="4"/>
  <c r="I141" i="4" s="1"/>
  <c r="I105" i="4"/>
  <c r="I133" i="4" s="1"/>
  <c r="I118" i="4"/>
  <c r="I146" i="4" s="1"/>
  <c r="I107" i="4"/>
  <c r="I135" i="4" s="1"/>
  <c r="I119" i="4"/>
  <c r="I147" i="4" s="1"/>
  <c r="I110" i="4"/>
  <c r="I138" i="4" s="1"/>
  <c r="I115" i="4"/>
  <c r="I143" i="4" s="1"/>
  <c r="I123" i="4"/>
  <c r="I151" i="4" s="1"/>
  <c r="U116" i="4"/>
  <c r="U144" i="4" s="1"/>
  <c r="T116" i="4"/>
  <c r="T144" i="4" s="1"/>
  <c r="S116" i="4"/>
  <c r="S144" i="4" s="1"/>
  <c r="Q116" i="4"/>
  <c r="Q144" i="4" s="1"/>
  <c r="R116" i="4"/>
  <c r="R144" i="4" s="1"/>
  <c r="V116" i="4"/>
  <c r="V144" i="4" s="1"/>
  <c r="J49" i="2"/>
  <c r="J78" i="2" s="1"/>
  <c r="R72" i="2"/>
  <c r="H11" i="2"/>
  <c r="D16" i="2"/>
  <c r="X20" i="2"/>
  <c r="H20" i="2"/>
  <c r="W20" i="2"/>
  <c r="G20" i="2"/>
  <c r="E20" i="2"/>
  <c r="V20" i="2"/>
  <c r="W76" i="2" s="1"/>
  <c r="F20" i="2"/>
  <c r="U20" i="2"/>
  <c r="T20" i="2"/>
  <c r="U76" i="2" s="1"/>
  <c r="D20" i="2"/>
  <c r="E76" i="2" s="1"/>
  <c r="S20" i="2"/>
  <c r="R20" i="2"/>
  <c r="S76" i="2" s="1"/>
  <c r="Q20" i="2"/>
  <c r="P20" i="2"/>
  <c r="K20" i="2"/>
  <c r="L76" i="2" s="1"/>
  <c r="J20" i="2"/>
  <c r="I20" i="2"/>
  <c r="M20" i="2"/>
  <c r="O20" i="2"/>
  <c r="N20" i="2"/>
  <c r="L20" i="2"/>
  <c r="Q105" i="2"/>
  <c r="R161" i="2" s="1"/>
  <c r="P105" i="2"/>
  <c r="O105" i="2"/>
  <c r="N105" i="2"/>
  <c r="O161" i="2" s="1"/>
  <c r="M105" i="2"/>
  <c r="N161" i="2" s="1"/>
  <c r="L105" i="2"/>
  <c r="I105" i="2"/>
  <c r="J161" i="2" s="1"/>
  <c r="E105" i="2"/>
  <c r="D105" i="2"/>
  <c r="X105" i="2"/>
  <c r="W105" i="2"/>
  <c r="V105" i="2"/>
  <c r="U105" i="2"/>
  <c r="T105" i="2"/>
  <c r="U161" i="2" s="1"/>
  <c r="S105" i="2"/>
  <c r="K105" i="2"/>
  <c r="F105" i="2"/>
  <c r="H105" i="2"/>
  <c r="J105" i="2"/>
  <c r="K161" i="2" s="1"/>
  <c r="R105" i="2"/>
  <c r="S161" i="2" s="1"/>
  <c r="G105" i="2"/>
  <c r="Q120" i="2"/>
  <c r="P120" i="2"/>
  <c r="R120" i="2"/>
  <c r="O120" i="2"/>
  <c r="N120" i="2"/>
  <c r="M120" i="2"/>
  <c r="L120" i="2"/>
  <c r="K120" i="2"/>
  <c r="J120" i="2"/>
  <c r="I120" i="2"/>
  <c r="H120" i="2"/>
  <c r="U120" i="2"/>
  <c r="E120" i="2"/>
  <c r="D120" i="2"/>
  <c r="X120" i="2"/>
  <c r="V120" i="2"/>
  <c r="F120" i="2"/>
  <c r="W120" i="2"/>
  <c r="T120" i="2"/>
  <c r="S120" i="2"/>
  <c r="G120" i="2"/>
  <c r="X46" i="3"/>
  <c r="H46" i="3"/>
  <c r="W46" i="3"/>
  <c r="G46" i="3"/>
  <c r="V46" i="3"/>
  <c r="F46" i="3"/>
  <c r="U46" i="3"/>
  <c r="E46" i="3"/>
  <c r="T46" i="3"/>
  <c r="D46" i="3"/>
  <c r="R46" i="3"/>
  <c r="Q46" i="3"/>
  <c r="P46" i="3"/>
  <c r="O46" i="3"/>
  <c r="M46" i="3"/>
  <c r="I46" i="3"/>
  <c r="S46" i="3"/>
  <c r="N46" i="3"/>
  <c r="L46" i="3"/>
  <c r="K46" i="3"/>
  <c r="J46" i="3"/>
  <c r="I13" i="3"/>
  <c r="W13" i="3"/>
  <c r="G13" i="3"/>
  <c r="R13" i="3"/>
  <c r="O13" i="3"/>
  <c r="N13" i="3"/>
  <c r="M13" i="3"/>
  <c r="L13" i="3"/>
  <c r="K13" i="3"/>
  <c r="J13" i="3"/>
  <c r="H13" i="3"/>
  <c r="F13" i="3"/>
  <c r="E13" i="3"/>
  <c r="X13" i="3"/>
  <c r="D13" i="3"/>
  <c r="T13" i="3"/>
  <c r="S13" i="3"/>
  <c r="P13" i="3"/>
  <c r="V13" i="3"/>
  <c r="U13" i="3"/>
  <c r="Q13" i="3"/>
  <c r="Q25" i="3"/>
  <c r="P25" i="3"/>
  <c r="O25" i="3"/>
  <c r="N25" i="3"/>
  <c r="M25" i="3"/>
  <c r="J25" i="3"/>
  <c r="X25" i="3"/>
  <c r="W25" i="3"/>
  <c r="V25" i="3"/>
  <c r="U25" i="3"/>
  <c r="T25" i="3"/>
  <c r="S25" i="3"/>
  <c r="R25" i="3"/>
  <c r="L25" i="3"/>
  <c r="K25" i="3"/>
  <c r="I25" i="3"/>
  <c r="G25" i="3"/>
  <c r="F25" i="3"/>
  <c r="E25" i="3"/>
  <c r="D25" i="3"/>
  <c r="H25" i="3"/>
  <c r="U138" i="2"/>
  <c r="E138" i="2"/>
  <c r="E167" i="2" s="1"/>
  <c r="T138" i="2"/>
  <c r="D138" i="2"/>
  <c r="D167" i="2" s="1"/>
  <c r="S138" i="2"/>
  <c r="S167" i="2" s="1"/>
  <c r="R138" i="2"/>
  <c r="R167" i="2" s="1"/>
  <c r="Q138" i="2"/>
  <c r="P138" i="2"/>
  <c r="N138" i="2"/>
  <c r="N167" i="2" s="1"/>
  <c r="H138" i="2"/>
  <c r="H167" i="2" s="1"/>
  <c r="G138" i="2"/>
  <c r="G167" i="2" s="1"/>
  <c r="F138" i="2"/>
  <c r="F167" i="2" s="1"/>
  <c r="X138" i="2"/>
  <c r="X167" i="2" s="1"/>
  <c r="W138" i="2"/>
  <c r="W167" i="2" s="1"/>
  <c r="V138" i="2"/>
  <c r="V167" i="2" s="1"/>
  <c r="M138" i="2"/>
  <c r="M167" i="2" s="1"/>
  <c r="K138" i="2"/>
  <c r="K167" i="2" s="1"/>
  <c r="I138" i="2"/>
  <c r="O138" i="2"/>
  <c r="O167" i="2" s="1"/>
  <c r="L138" i="2"/>
  <c r="L167" i="2" s="1"/>
  <c r="J138" i="2"/>
  <c r="J167" i="2" s="1"/>
  <c r="U22" i="2"/>
  <c r="H21" i="2"/>
  <c r="U14" i="2"/>
  <c r="V70" i="2" s="1"/>
  <c r="M83" i="2"/>
  <c r="U56" i="2"/>
  <c r="E56" i="2"/>
  <c r="T56" i="2"/>
  <c r="D56" i="2"/>
  <c r="S56" i="2"/>
  <c r="R56" i="2"/>
  <c r="Q56" i="2"/>
  <c r="P56" i="2"/>
  <c r="O56" i="2"/>
  <c r="N56" i="2"/>
  <c r="M56" i="2"/>
  <c r="L56" i="2"/>
  <c r="I56" i="2"/>
  <c r="H56" i="2"/>
  <c r="K56" i="2"/>
  <c r="G56" i="2"/>
  <c r="F56" i="2"/>
  <c r="X56" i="2"/>
  <c r="W56" i="2"/>
  <c r="V56" i="2"/>
  <c r="J56" i="2"/>
  <c r="K10" i="3"/>
  <c r="I10" i="3"/>
  <c r="G10" i="3"/>
  <c r="X10" i="3"/>
  <c r="F10" i="3"/>
  <c r="W10" i="3"/>
  <c r="E10" i="3"/>
  <c r="V10" i="3"/>
  <c r="D10" i="3"/>
  <c r="U10" i="3"/>
  <c r="T10" i="3"/>
  <c r="S10" i="3"/>
  <c r="R10" i="3"/>
  <c r="Q10" i="3"/>
  <c r="P10" i="3"/>
  <c r="M10" i="3"/>
  <c r="L10" i="3"/>
  <c r="H10" i="3"/>
  <c r="J10" i="3"/>
  <c r="N10" i="3"/>
  <c r="O10" i="3"/>
  <c r="S22" i="3"/>
  <c r="Q22" i="3"/>
  <c r="P22" i="3"/>
  <c r="O22" i="3"/>
  <c r="L22" i="3"/>
  <c r="T22" i="3"/>
  <c r="R22" i="3"/>
  <c r="N22" i="3"/>
  <c r="M22" i="3"/>
  <c r="K22" i="3"/>
  <c r="J22" i="3"/>
  <c r="I22" i="3"/>
  <c r="H22" i="3"/>
  <c r="G22" i="3"/>
  <c r="F22" i="3"/>
  <c r="D22" i="3"/>
  <c r="X22" i="3"/>
  <c r="W22" i="3"/>
  <c r="U22" i="3"/>
  <c r="E22" i="3"/>
  <c r="V22" i="3"/>
  <c r="V106" i="4"/>
  <c r="V134" i="4" s="1"/>
  <c r="K162" i="4"/>
  <c r="K190" i="4" s="1"/>
  <c r="S106" i="4"/>
  <c r="S134" i="4" s="1"/>
  <c r="U107" i="4"/>
  <c r="U135" i="4" s="1"/>
  <c r="T112" i="4"/>
  <c r="T140" i="4" s="1"/>
  <c r="Q112" i="4"/>
  <c r="Q140" i="4" s="1"/>
  <c r="T161" i="4"/>
  <c r="T189" i="4" s="1"/>
  <c r="W105" i="4"/>
  <c r="W133" i="4" s="1"/>
  <c r="X115" i="4"/>
  <c r="X143" i="4" s="1"/>
  <c r="V115" i="4"/>
  <c r="V143" i="4" s="1"/>
  <c r="Q115" i="4"/>
  <c r="Q143" i="4" s="1"/>
  <c r="G120" i="4"/>
  <c r="G148" i="4" s="1"/>
  <c r="G112" i="4"/>
  <c r="G140" i="4" s="1"/>
  <c r="G125" i="4"/>
  <c r="G153" i="4" s="1"/>
  <c r="G117" i="4"/>
  <c r="G145" i="4" s="1"/>
  <c r="G109" i="4"/>
  <c r="G137" i="4" s="1"/>
  <c r="G122" i="4"/>
  <c r="G150" i="4" s="1"/>
  <c r="G119" i="4"/>
  <c r="G147" i="4" s="1"/>
  <c r="G111" i="4"/>
  <c r="G139" i="4" s="1"/>
  <c r="G110" i="4"/>
  <c r="G138" i="4" s="1"/>
  <c r="G123" i="4"/>
  <c r="G151" i="4" s="1"/>
  <c r="G115" i="4"/>
  <c r="G143" i="4" s="1"/>
  <c r="G116" i="4"/>
  <c r="G144" i="4" s="1"/>
  <c r="G121" i="4"/>
  <c r="G149" i="4" s="1"/>
  <c r="G124" i="4"/>
  <c r="G152" i="4" s="1"/>
  <c r="G113" i="4"/>
  <c r="G141" i="4" s="1"/>
  <c r="G105" i="4"/>
  <c r="G133" i="4" s="1"/>
  <c r="G118" i="4"/>
  <c r="G146" i="4" s="1"/>
  <c r="G106" i="4"/>
  <c r="G134" i="4" s="1"/>
  <c r="G107" i="4"/>
  <c r="G135" i="4" s="1"/>
  <c r="G114" i="4"/>
  <c r="G142" i="4" s="1"/>
  <c r="G108" i="4"/>
  <c r="G136" i="4" s="1"/>
  <c r="M166" i="4"/>
  <c r="M194" i="4" s="1"/>
  <c r="P166" i="4"/>
  <c r="P194" i="4" s="1"/>
  <c r="O166" i="4"/>
  <c r="O194" i="4" s="1"/>
  <c r="N166" i="4"/>
  <c r="N194" i="4" s="1"/>
  <c r="W72" i="2"/>
  <c r="G72" i="2"/>
  <c r="X11" i="2"/>
  <c r="W67" i="2" s="1"/>
  <c r="R78" i="2"/>
  <c r="X28" i="2"/>
  <c r="H28" i="2"/>
  <c r="U28" i="2"/>
  <c r="W28" i="2"/>
  <c r="X84" i="2" s="1"/>
  <c r="G28" i="2"/>
  <c r="V28" i="2"/>
  <c r="W84" i="2" s="1"/>
  <c r="F28" i="2"/>
  <c r="G84" i="2" s="1"/>
  <c r="E28" i="2"/>
  <c r="T28" i="2"/>
  <c r="D28" i="2"/>
  <c r="S28" i="2"/>
  <c r="R28" i="2"/>
  <c r="Q28" i="2"/>
  <c r="P28" i="2"/>
  <c r="O28" i="2"/>
  <c r="N28" i="2"/>
  <c r="O84" i="2" s="1"/>
  <c r="M28" i="2"/>
  <c r="K28" i="2"/>
  <c r="L84" i="2" s="1"/>
  <c r="L28" i="2"/>
  <c r="I28" i="2"/>
  <c r="J28" i="2"/>
  <c r="K137" i="2"/>
  <c r="J137" i="2"/>
  <c r="I137" i="2"/>
  <c r="X137" i="2"/>
  <c r="H137" i="2"/>
  <c r="W137" i="2"/>
  <c r="G137" i="2"/>
  <c r="V137" i="2"/>
  <c r="F137" i="2"/>
  <c r="T137" i="2"/>
  <c r="D137" i="2"/>
  <c r="U137" i="2"/>
  <c r="S137" i="2"/>
  <c r="R137" i="2"/>
  <c r="Q137" i="2"/>
  <c r="P137" i="2"/>
  <c r="O137" i="2"/>
  <c r="N137" i="2"/>
  <c r="L137" i="2"/>
  <c r="E137" i="2"/>
  <c r="M137" i="2"/>
  <c r="K26" i="3"/>
  <c r="J26" i="3"/>
  <c r="I26" i="3"/>
  <c r="X26" i="3"/>
  <c r="H26" i="3"/>
  <c r="W26" i="3"/>
  <c r="G26" i="3"/>
  <c r="T26" i="3"/>
  <c r="D26" i="3"/>
  <c r="V26" i="3"/>
  <c r="U26" i="3"/>
  <c r="S26" i="3"/>
  <c r="R26" i="3"/>
  <c r="Q26" i="3"/>
  <c r="P26" i="3"/>
  <c r="O26" i="3"/>
  <c r="M26" i="3"/>
  <c r="L26" i="3"/>
  <c r="F26" i="3"/>
  <c r="N26" i="3"/>
  <c r="E26" i="3"/>
  <c r="P42" i="3"/>
  <c r="O42" i="3"/>
  <c r="N42" i="3"/>
  <c r="M42" i="3"/>
  <c r="L42" i="3"/>
  <c r="J42" i="3"/>
  <c r="I42" i="3"/>
  <c r="X42" i="3"/>
  <c r="H42" i="3"/>
  <c r="W42" i="3"/>
  <c r="G42" i="3"/>
  <c r="U42" i="3"/>
  <c r="E42" i="3"/>
  <c r="Q42" i="3"/>
  <c r="T42" i="3"/>
  <c r="S42" i="3"/>
  <c r="R42" i="3"/>
  <c r="K42" i="3"/>
  <c r="F42" i="3"/>
  <c r="D42" i="3"/>
  <c r="V42" i="3"/>
  <c r="S125" i="2"/>
  <c r="R125" i="2"/>
  <c r="Q125" i="2"/>
  <c r="U125" i="2"/>
  <c r="T125" i="2"/>
  <c r="P125" i="2"/>
  <c r="O125" i="2"/>
  <c r="N125" i="2"/>
  <c r="M125" i="2"/>
  <c r="L125" i="2"/>
  <c r="K125" i="2"/>
  <c r="J125" i="2"/>
  <c r="I125" i="2"/>
  <c r="G125" i="2"/>
  <c r="X125" i="2"/>
  <c r="E125" i="2"/>
  <c r="V125" i="2"/>
  <c r="W125" i="2"/>
  <c r="H125" i="2"/>
  <c r="F125" i="2"/>
  <c r="D125" i="2"/>
  <c r="F22" i="2"/>
  <c r="R19" i="2"/>
  <c r="T27" i="2"/>
  <c r="E24" i="2"/>
  <c r="F14" i="2"/>
  <c r="S11" i="2"/>
  <c r="T67" i="2" s="1"/>
  <c r="X80" i="2"/>
  <c r="M126" i="2"/>
  <c r="L126" i="2"/>
  <c r="K126" i="2"/>
  <c r="R126" i="2"/>
  <c r="Q126" i="2"/>
  <c r="P126" i="2"/>
  <c r="O126" i="2"/>
  <c r="N126" i="2"/>
  <c r="J126" i="2"/>
  <c r="I126" i="2"/>
  <c r="H126" i="2"/>
  <c r="G126" i="2"/>
  <c r="F126" i="2"/>
  <c r="W126" i="2"/>
  <c r="D126" i="2"/>
  <c r="U126" i="2"/>
  <c r="S126" i="2"/>
  <c r="E126" i="2"/>
  <c r="V126" i="2"/>
  <c r="X126" i="2"/>
  <c r="T126" i="2"/>
  <c r="O20" i="3"/>
  <c r="M20" i="3"/>
  <c r="L20" i="3"/>
  <c r="K20" i="3"/>
  <c r="X20" i="3"/>
  <c r="H20" i="3"/>
  <c r="Q20" i="3"/>
  <c r="P20" i="3"/>
  <c r="N20" i="3"/>
  <c r="J20" i="3"/>
  <c r="I20" i="3"/>
  <c r="G20" i="3"/>
  <c r="F20" i="3"/>
  <c r="E20" i="3"/>
  <c r="D20" i="3"/>
  <c r="V20" i="3"/>
  <c r="U20" i="3"/>
  <c r="T20" i="3"/>
  <c r="R20" i="3"/>
  <c r="W20" i="3"/>
  <c r="S20" i="3"/>
  <c r="R47" i="3"/>
  <c r="Q47" i="3"/>
  <c r="P47" i="3"/>
  <c r="O47" i="3"/>
  <c r="N47" i="3"/>
  <c r="L47" i="3"/>
  <c r="K47" i="3"/>
  <c r="J47" i="3"/>
  <c r="I47" i="3"/>
  <c r="W47" i="3"/>
  <c r="G47" i="3"/>
  <c r="S47" i="3"/>
  <c r="M47" i="3"/>
  <c r="H47" i="3"/>
  <c r="F47" i="3"/>
  <c r="E47" i="3"/>
  <c r="D47" i="3"/>
  <c r="X47" i="3"/>
  <c r="V47" i="3"/>
  <c r="T47" i="3"/>
  <c r="U47" i="3"/>
  <c r="T78" i="2"/>
  <c r="T105" i="4"/>
  <c r="T133" i="4" s="1"/>
  <c r="P107" i="4"/>
  <c r="P135" i="4" s="1"/>
  <c r="X114" i="4"/>
  <c r="X142" i="4" s="1"/>
  <c r="S114" i="4"/>
  <c r="S142" i="4" s="1"/>
  <c r="R114" i="4"/>
  <c r="R142" i="4" s="1"/>
  <c r="M167" i="4"/>
  <c r="M195" i="4" s="1"/>
  <c r="L167" i="4"/>
  <c r="L195" i="4" s="1"/>
  <c r="W167" i="4"/>
  <c r="W195" i="4" s="1"/>
  <c r="O167" i="4"/>
  <c r="O195" i="4" s="1"/>
  <c r="N167" i="4"/>
  <c r="N195" i="4" s="1"/>
  <c r="T167" i="2"/>
  <c r="M103" i="2"/>
  <c r="L103" i="2"/>
  <c r="K103" i="2"/>
  <c r="J103" i="2"/>
  <c r="I103" i="2"/>
  <c r="X103" i="2"/>
  <c r="H103" i="2"/>
  <c r="U103" i="2"/>
  <c r="E103" i="2"/>
  <c r="S103" i="2"/>
  <c r="R103" i="2"/>
  <c r="Q103" i="2"/>
  <c r="R159" i="2" s="1"/>
  <c r="P103" i="2"/>
  <c r="O103" i="2"/>
  <c r="N103" i="2"/>
  <c r="G103" i="2"/>
  <c r="F103" i="2"/>
  <c r="G159" i="2" s="1"/>
  <c r="D103" i="2"/>
  <c r="T103" i="2"/>
  <c r="W103" i="2"/>
  <c r="V103" i="2"/>
  <c r="Q136" i="2"/>
  <c r="P136" i="2"/>
  <c r="O136" i="2"/>
  <c r="N136" i="2"/>
  <c r="M136" i="2"/>
  <c r="L136" i="2"/>
  <c r="J136" i="2"/>
  <c r="V136" i="2"/>
  <c r="U136" i="2"/>
  <c r="T136" i="2"/>
  <c r="S136" i="2"/>
  <c r="R136" i="2"/>
  <c r="K136" i="2"/>
  <c r="I136" i="2"/>
  <c r="H136" i="2"/>
  <c r="G136" i="2"/>
  <c r="F136" i="2"/>
  <c r="D136" i="2"/>
  <c r="W136" i="2"/>
  <c r="X136" i="2"/>
  <c r="E136" i="2"/>
  <c r="V15" i="2"/>
  <c r="F15" i="2"/>
  <c r="U15" i="2"/>
  <c r="E15" i="2"/>
  <c r="S15" i="2"/>
  <c r="T15" i="2"/>
  <c r="D15" i="2"/>
  <c r="R15" i="2"/>
  <c r="Q15" i="2"/>
  <c r="P15" i="2"/>
  <c r="O15" i="2"/>
  <c r="N15" i="2"/>
  <c r="J15" i="2"/>
  <c r="I15" i="2"/>
  <c r="G15" i="2"/>
  <c r="W15" i="2"/>
  <c r="L15" i="2"/>
  <c r="H15" i="2"/>
  <c r="X15" i="2"/>
  <c r="M15" i="2"/>
  <c r="K15" i="2"/>
  <c r="W96" i="2"/>
  <c r="G96" i="2"/>
  <c r="V96" i="2"/>
  <c r="F96" i="2"/>
  <c r="U96" i="2"/>
  <c r="E96" i="2"/>
  <c r="T96" i="2"/>
  <c r="D96" i="2"/>
  <c r="S96" i="2"/>
  <c r="R96" i="2"/>
  <c r="J96" i="2"/>
  <c r="I96" i="2"/>
  <c r="H96" i="2"/>
  <c r="X96" i="2"/>
  <c r="Q96" i="2"/>
  <c r="O96" i="2"/>
  <c r="P152" i="2" s="1"/>
  <c r="K96" i="2"/>
  <c r="P96" i="2"/>
  <c r="L96" i="2"/>
  <c r="N96" i="2"/>
  <c r="M96" i="2"/>
  <c r="P50" i="3"/>
  <c r="O50" i="3"/>
  <c r="N50" i="3"/>
  <c r="M50" i="3"/>
  <c r="L50" i="3"/>
  <c r="J50" i="3"/>
  <c r="I50" i="3"/>
  <c r="X50" i="3"/>
  <c r="H50" i="3"/>
  <c r="W50" i="3"/>
  <c r="G50" i="3"/>
  <c r="U50" i="3"/>
  <c r="E50" i="3"/>
  <c r="Q50" i="3"/>
  <c r="V50" i="3"/>
  <c r="T50" i="3"/>
  <c r="R50" i="3"/>
  <c r="K50" i="3"/>
  <c r="F50" i="3"/>
  <c r="S50" i="3"/>
  <c r="D50" i="3"/>
  <c r="Q9" i="3"/>
  <c r="O9" i="3"/>
  <c r="K9" i="3"/>
  <c r="J9" i="3"/>
  <c r="I9" i="3"/>
  <c r="H9" i="3"/>
  <c r="G9" i="3"/>
  <c r="X9" i="3"/>
  <c r="F9" i="3"/>
  <c r="W9" i="3"/>
  <c r="E9" i="3"/>
  <c r="V9" i="3"/>
  <c r="D9" i="3"/>
  <c r="U9" i="3"/>
  <c r="T9" i="3"/>
  <c r="P9" i="3"/>
  <c r="N9" i="3"/>
  <c r="L9" i="3"/>
  <c r="S9" i="3"/>
  <c r="R9" i="3"/>
  <c r="M9" i="3"/>
  <c r="S133" i="2"/>
  <c r="R133" i="2"/>
  <c r="Q133" i="2"/>
  <c r="N133" i="2"/>
  <c r="L133" i="2"/>
  <c r="H133" i="2"/>
  <c r="G133" i="2"/>
  <c r="F133" i="2"/>
  <c r="E133" i="2"/>
  <c r="D133" i="2"/>
  <c r="X133" i="2"/>
  <c r="W133" i="2"/>
  <c r="V133" i="2"/>
  <c r="U133" i="2"/>
  <c r="T133" i="2"/>
  <c r="O133" i="2"/>
  <c r="K133" i="2"/>
  <c r="I133" i="2"/>
  <c r="P133" i="2"/>
  <c r="M133" i="2"/>
  <c r="J133" i="2"/>
  <c r="N37" i="3"/>
  <c r="M37" i="3"/>
  <c r="L37" i="3"/>
  <c r="K37" i="3"/>
  <c r="J37" i="3"/>
  <c r="X37" i="3"/>
  <c r="H37" i="3"/>
  <c r="W37" i="3"/>
  <c r="G37" i="3"/>
  <c r="U37" i="3"/>
  <c r="E37" i="3"/>
  <c r="S37" i="3"/>
  <c r="O37" i="3"/>
  <c r="I37" i="3"/>
  <c r="F37" i="3"/>
  <c r="D37" i="3"/>
  <c r="V37" i="3"/>
  <c r="T37" i="3"/>
  <c r="R37" i="3"/>
  <c r="P37" i="3"/>
  <c r="Q37" i="3"/>
  <c r="T36" i="3"/>
  <c r="D36" i="3"/>
  <c r="S36" i="3"/>
  <c r="R36" i="3"/>
  <c r="Q36" i="3"/>
  <c r="P36" i="3"/>
  <c r="N36" i="3"/>
  <c r="M36" i="3"/>
  <c r="I36" i="3"/>
  <c r="X36" i="3"/>
  <c r="W36" i="3"/>
  <c r="V36" i="3"/>
  <c r="U36" i="3"/>
  <c r="O36" i="3"/>
  <c r="L36" i="3"/>
  <c r="J36" i="3"/>
  <c r="H36" i="3"/>
  <c r="G36" i="3"/>
  <c r="E36" i="3"/>
  <c r="K36" i="3"/>
  <c r="F36" i="3"/>
  <c r="V22" i="2"/>
  <c r="W78" i="2" s="1"/>
  <c r="G16" i="2"/>
  <c r="H72" i="2" s="1"/>
  <c r="P78" i="2"/>
  <c r="L83" i="2"/>
  <c r="U48" i="2"/>
  <c r="E48" i="2"/>
  <c r="T48" i="2"/>
  <c r="D48" i="2"/>
  <c r="S48" i="2"/>
  <c r="R48" i="2"/>
  <c r="Q48" i="2"/>
  <c r="P48" i="2"/>
  <c r="P77" i="2" s="1"/>
  <c r="O48" i="2"/>
  <c r="N48" i="2"/>
  <c r="N77" i="2" s="1"/>
  <c r="M48" i="2"/>
  <c r="L48" i="2"/>
  <c r="L77" i="2" s="1"/>
  <c r="K48" i="2"/>
  <c r="H48" i="2"/>
  <c r="F48" i="2"/>
  <c r="J48" i="2"/>
  <c r="I48" i="2"/>
  <c r="I75" i="2" s="1"/>
  <c r="G48" i="2"/>
  <c r="W48" i="2"/>
  <c r="W75" i="2" s="1"/>
  <c r="X48" i="2"/>
  <c r="X75" i="2" s="1"/>
  <c r="V48" i="2"/>
  <c r="V77" i="2" s="1"/>
  <c r="S14" i="3"/>
  <c r="Q14" i="3"/>
  <c r="L14" i="3"/>
  <c r="M14" i="3"/>
  <c r="K14" i="3"/>
  <c r="J14" i="3"/>
  <c r="I14" i="3"/>
  <c r="H14" i="3"/>
  <c r="G14" i="3"/>
  <c r="F14" i="3"/>
  <c r="X14" i="3"/>
  <c r="E14" i="3"/>
  <c r="W14" i="3"/>
  <c r="D14" i="3"/>
  <c r="V14" i="3"/>
  <c r="R14" i="3"/>
  <c r="P14" i="3"/>
  <c r="N14" i="3"/>
  <c r="T14" i="3"/>
  <c r="O14" i="3"/>
  <c r="U14" i="3"/>
  <c r="I177" i="4"/>
  <c r="I205" i="4" s="1"/>
  <c r="I169" i="4"/>
  <c r="I197" i="4" s="1"/>
  <c r="I161" i="4"/>
  <c r="I189" i="4" s="1"/>
  <c r="I174" i="4"/>
  <c r="I202" i="4" s="1"/>
  <c r="I166" i="4"/>
  <c r="I194" i="4" s="1"/>
  <c r="I179" i="4"/>
  <c r="I207" i="4" s="1"/>
  <c r="I171" i="4"/>
  <c r="I199" i="4" s="1"/>
  <c r="I163" i="4"/>
  <c r="I191" i="4" s="1"/>
  <c r="I181" i="4"/>
  <c r="I209" i="4" s="1"/>
  <c r="I178" i="4"/>
  <c r="I206" i="4" s="1"/>
  <c r="I173" i="4"/>
  <c r="I201" i="4" s="1"/>
  <c r="I170" i="4"/>
  <c r="I198" i="4" s="1"/>
  <c r="I176" i="4"/>
  <c r="I204" i="4" s="1"/>
  <c r="I167" i="4"/>
  <c r="I195" i="4" s="1"/>
  <c r="I180" i="4"/>
  <c r="I208" i="4" s="1"/>
  <c r="I168" i="4"/>
  <c r="I196" i="4" s="1"/>
  <c r="I162" i="4"/>
  <c r="I190" i="4" s="1"/>
  <c r="I172" i="4"/>
  <c r="I200" i="4" s="1"/>
  <c r="I175" i="4"/>
  <c r="I203" i="4" s="1"/>
  <c r="I165" i="4"/>
  <c r="I193" i="4" s="1"/>
  <c r="I164" i="4"/>
  <c r="I192" i="4" s="1"/>
  <c r="U122" i="2"/>
  <c r="E122" i="2"/>
  <c r="T122" i="2"/>
  <c r="D122" i="2"/>
  <c r="J122" i="2"/>
  <c r="I122" i="2"/>
  <c r="H122" i="2"/>
  <c r="G122" i="2"/>
  <c r="X122" i="2"/>
  <c r="F122" i="2"/>
  <c r="W122" i="2"/>
  <c r="V122" i="2"/>
  <c r="S122" i="2"/>
  <c r="R122" i="2"/>
  <c r="Q122" i="2"/>
  <c r="M122" i="2"/>
  <c r="N122" i="2"/>
  <c r="L122" i="2"/>
  <c r="K122" i="2"/>
  <c r="O122" i="2"/>
  <c r="P122" i="2"/>
  <c r="S110" i="4"/>
  <c r="S138" i="4" s="1"/>
  <c r="R110" i="4"/>
  <c r="R138" i="4" s="1"/>
  <c r="M163" i="4"/>
  <c r="M191" i="4" s="1"/>
  <c r="X109" i="4"/>
  <c r="X137" i="4" s="1"/>
  <c r="T107" i="4"/>
  <c r="T135" i="4" s="1"/>
  <c r="P115" i="4"/>
  <c r="P143" i="4" s="1"/>
  <c r="V166" i="4"/>
  <c r="V194" i="4" s="1"/>
  <c r="R166" i="4"/>
  <c r="R194" i="4" s="1"/>
  <c r="S165" i="4"/>
  <c r="S193" i="4" s="1"/>
  <c r="K122" i="4"/>
  <c r="K150" i="4" s="1"/>
  <c r="K114" i="4"/>
  <c r="K142" i="4" s="1"/>
  <c r="K106" i="4"/>
  <c r="K134" i="4" s="1"/>
  <c r="K119" i="4"/>
  <c r="K147" i="4" s="1"/>
  <c r="K111" i="4"/>
  <c r="K139" i="4" s="1"/>
  <c r="K124" i="4"/>
  <c r="K152" i="4" s="1"/>
  <c r="K121" i="4"/>
  <c r="K149" i="4" s="1"/>
  <c r="K113" i="4"/>
  <c r="K141" i="4" s="1"/>
  <c r="K105" i="4"/>
  <c r="K133" i="4" s="1"/>
  <c r="K116" i="4"/>
  <c r="K144" i="4" s="1"/>
  <c r="K112" i="4"/>
  <c r="K140" i="4" s="1"/>
  <c r="K118" i="4"/>
  <c r="K146" i="4" s="1"/>
  <c r="K117" i="4"/>
  <c r="K145" i="4" s="1"/>
  <c r="K107" i="4"/>
  <c r="K135" i="4" s="1"/>
  <c r="K108" i="4"/>
  <c r="K136" i="4" s="1"/>
  <c r="K125" i="4"/>
  <c r="K153" i="4" s="1"/>
  <c r="K123" i="4"/>
  <c r="K151" i="4" s="1"/>
  <c r="K115" i="4"/>
  <c r="K143" i="4" s="1"/>
  <c r="K110" i="4"/>
  <c r="K138" i="4" s="1"/>
  <c r="K120" i="4"/>
  <c r="K148" i="4" s="1"/>
  <c r="K109" i="4"/>
  <c r="K137" i="4" s="1"/>
  <c r="H125" i="4"/>
  <c r="H153" i="4" s="1"/>
  <c r="H117" i="4"/>
  <c r="H145" i="4" s="1"/>
  <c r="H109" i="4"/>
  <c r="H137" i="4" s="1"/>
  <c r="H122" i="4"/>
  <c r="H150" i="4" s="1"/>
  <c r="H114" i="4"/>
  <c r="H142" i="4" s="1"/>
  <c r="H119" i="4"/>
  <c r="H147" i="4" s="1"/>
  <c r="H111" i="4"/>
  <c r="H139" i="4" s="1"/>
  <c r="H124" i="4"/>
  <c r="H152" i="4" s="1"/>
  <c r="H116" i="4"/>
  <c r="H144" i="4" s="1"/>
  <c r="H108" i="4"/>
  <c r="H136" i="4" s="1"/>
  <c r="H123" i="4"/>
  <c r="H151" i="4" s="1"/>
  <c r="H115" i="4"/>
  <c r="H143" i="4" s="1"/>
  <c r="H120" i="4"/>
  <c r="H148" i="4" s="1"/>
  <c r="H121" i="4"/>
  <c r="H149" i="4" s="1"/>
  <c r="H112" i="4"/>
  <c r="H140" i="4" s="1"/>
  <c r="H113" i="4"/>
  <c r="H141" i="4" s="1"/>
  <c r="H105" i="4"/>
  <c r="H133" i="4" s="1"/>
  <c r="H118" i="4"/>
  <c r="H146" i="4" s="1"/>
  <c r="H106" i="4"/>
  <c r="H134" i="4" s="1"/>
  <c r="H110" i="4"/>
  <c r="H138" i="4" s="1"/>
  <c r="H107" i="4"/>
  <c r="H135" i="4" s="1"/>
  <c r="U16" i="2"/>
  <c r="V72" i="2" s="1"/>
  <c r="M49" i="2"/>
  <c r="M78" i="2" s="1"/>
  <c r="M67" i="2"/>
  <c r="Q54" i="2"/>
  <c r="P54" i="2"/>
  <c r="P83" i="2" s="1"/>
  <c r="O54" i="2"/>
  <c r="O83" i="2" s="1"/>
  <c r="N54" i="2"/>
  <c r="N83" i="2" s="1"/>
  <c r="M54" i="2"/>
  <c r="L54" i="2"/>
  <c r="K54" i="2"/>
  <c r="K83" i="2" s="1"/>
  <c r="J54" i="2"/>
  <c r="J83" i="2" s="1"/>
  <c r="I54" i="2"/>
  <c r="I83" i="2" s="1"/>
  <c r="X54" i="2"/>
  <c r="H54" i="2"/>
  <c r="G54" i="2"/>
  <c r="F54" i="2"/>
  <c r="E54" i="2"/>
  <c r="S54" i="2"/>
  <c r="D54" i="2"/>
  <c r="W54" i="2"/>
  <c r="V54" i="2"/>
  <c r="U54" i="2"/>
  <c r="T54" i="2"/>
  <c r="T83" i="2" s="1"/>
  <c r="R54" i="2"/>
  <c r="U167" i="2"/>
  <c r="V23" i="2"/>
  <c r="F23" i="2"/>
  <c r="U23" i="2"/>
  <c r="E23" i="2"/>
  <c r="S23" i="2"/>
  <c r="T23" i="2"/>
  <c r="D23" i="2"/>
  <c r="R23" i="2"/>
  <c r="Q23" i="2"/>
  <c r="P23" i="2"/>
  <c r="Q79" i="2" s="1"/>
  <c r="O23" i="2"/>
  <c r="N23" i="2"/>
  <c r="M23" i="2"/>
  <c r="L23" i="2"/>
  <c r="H23" i="2"/>
  <c r="K23" i="2"/>
  <c r="J23" i="2"/>
  <c r="K79" i="2" s="1"/>
  <c r="X23" i="2"/>
  <c r="I23" i="2"/>
  <c r="G23" i="2"/>
  <c r="W23" i="2"/>
  <c r="W104" i="2"/>
  <c r="G104" i="2"/>
  <c r="V104" i="2"/>
  <c r="F104" i="2"/>
  <c r="U104" i="2"/>
  <c r="V160" i="2" s="1"/>
  <c r="E104" i="2"/>
  <c r="T104" i="2"/>
  <c r="D104" i="2"/>
  <c r="E160" i="2" s="1"/>
  <c r="S104" i="2"/>
  <c r="R104" i="2"/>
  <c r="O104" i="2"/>
  <c r="X104" i="2"/>
  <c r="Q104" i="2"/>
  <c r="P104" i="2"/>
  <c r="N104" i="2"/>
  <c r="M104" i="2"/>
  <c r="L104" i="2"/>
  <c r="K104" i="2"/>
  <c r="I104" i="2"/>
  <c r="J104" i="2"/>
  <c r="H104" i="2"/>
  <c r="I160" i="2" s="1"/>
  <c r="W135" i="2"/>
  <c r="G135" i="2"/>
  <c r="V135" i="2"/>
  <c r="F135" i="2"/>
  <c r="U135" i="2"/>
  <c r="E135" i="2"/>
  <c r="T135" i="2"/>
  <c r="D135" i="2"/>
  <c r="S135" i="2"/>
  <c r="R135" i="2"/>
  <c r="P135" i="2"/>
  <c r="N135" i="2"/>
  <c r="M135" i="2"/>
  <c r="L135" i="2"/>
  <c r="K135" i="2"/>
  <c r="J135" i="2"/>
  <c r="I135" i="2"/>
  <c r="H135" i="2"/>
  <c r="X135" i="2"/>
  <c r="O135" i="2"/>
  <c r="Q135" i="2"/>
  <c r="N45" i="3"/>
  <c r="M45" i="3"/>
  <c r="L45" i="3"/>
  <c r="K45" i="3"/>
  <c r="J45" i="3"/>
  <c r="X45" i="3"/>
  <c r="H45" i="3"/>
  <c r="W45" i="3"/>
  <c r="G45" i="3"/>
  <c r="V45" i="3"/>
  <c r="F45" i="3"/>
  <c r="U45" i="3"/>
  <c r="E45" i="3"/>
  <c r="S45" i="3"/>
  <c r="O45" i="3"/>
  <c r="D45" i="3"/>
  <c r="T45" i="3"/>
  <c r="R45" i="3"/>
  <c r="Q45" i="3"/>
  <c r="I45" i="3"/>
  <c r="P45" i="3"/>
  <c r="T44" i="3"/>
  <c r="D44" i="3"/>
  <c r="S44" i="3"/>
  <c r="R44" i="3"/>
  <c r="Q44" i="3"/>
  <c r="P44" i="3"/>
  <c r="N44" i="3"/>
  <c r="M44" i="3"/>
  <c r="L44" i="3"/>
  <c r="K44" i="3"/>
  <c r="I44" i="3"/>
  <c r="U44" i="3"/>
  <c r="E44" i="3"/>
  <c r="X44" i="3"/>
  <c r="W44" i="3"/>
  <c r="V44" i="3"/>
  <c r="O44" i="3"/>
  <c r="J44" i="3"/>
  <c r="H44" i="3"/>
  <c r="G44" i="3"/>
  <c r="F44" i="3"/>
  <c r="G22" i="2"/>
  <c r="H78" i="2" s="1"/>
  <c r="R70" i="2"/>
  <c r="R22" i="2"/>
  <c r="K77" i="2"/>
  <c r="G14" i="2"/>
  <c r="H70" i="2" s="1"/>
  <c r="P24" i="2"/>
  <c r="O80" i="2" s="1"/>
  <c r="S19" i="2"/>
  <c r="I50" i="2"/>
  <c r="X50" i="2"/>
  <c r="H50" i="2"/>
  <c r="W50" i="2"/>
  <c r="G50" i="2"/>
  <c r="V50" i="2"/>
  <c r="F50" i="2"/>
  <c r="U50" i="2"/>
  <c r="E50" i="2"/>
  <c r="T50" i="2"/>
  <c r="D50" i="2"/>
  <c r="D77" i="2" s="1"/>
  <c r="S50" i="2"/>
  <c r="R50" i="2"/>
  <c r="Q50" i="2"/>
  <c r="P50" i="2"/>
  <c r="M50" i="2"/>
  <c r="L50" i="2"/>
  <c r="K50" i="2"/>
  <c r="J50" i="2"/>
  <c r="O50" i="2"/>
  <c r="N50" i="2"/>
  <c r="K106" i="2"/>
  <c r="J106" i="2"/>
  <c r="I106" i="2"/>
  <c r="X106" i="2"/>
  <c r="H106" i="2"/>
  <c r="W106" i="2"/>
  <c r="G106" i="2"/>
  <c r="V106" i="2"/>
  <c r="F106" i="2"/>
  <c r="U106" i="2"/>
  <c r="S106" i="2"/>
  <c r="M106" i="2"/>
  <c r="L106" i="2"/>
  <c r="E106" i="2"/>
  <c r="D106" i="2"/>
  <c r="E162" i="2" s="1"/>
  <c r="R106" i="2"/>
  <c r="N106" i="2"/>
  <c r="T106" i="2"/>
  <c r="Q106" i="2"/>
  <c r="R162" i="2" s="1"/>
  <c r="O106" i="2"/>
  <c r="P106" i="2"/>
  <c r="U27" i="3"/>
  <c r="E27" i="3"/>
  <c r="T27" i="3"/>
  <c r="D27" i="3"/>
  <c r="S27" i="3"/>
  <c r="R27" i="3"/>
  <c r="Q27" i="3"/>
  <c r="N27" i="3"/>
  <c r="J27" i="3"/>
  <c r="H27" i="3"/>
  <c r="G27" i="3"/>
  <c r="F27" i="3"/>
  <c r="X27" i="3"/>
  <c r="W27" i="3"/>
  <c r="V27" i="3"/>
  <c r="O27" i="3"/>
  <c r="M27" i="3"/>
  <c r="L27" i="3"/>
  <c r="I27" i="3"/>
  <c r="P27" i="3"/>
  <c r="K27" i="3"/>
  <c r="X12" i="2"/>
  <c r="H12" i="2"/>
  <c r="W12" i="2"/>
  <c r="X68" i="2" s="1"/>
  <c r="G12" i="2"/>
  <c r="H68" i="2" s="1"/>
  <c r="U12" i="2"/>
  <c r="V68" i="2" s="1"/>
  <c r="V12" i="2"/>
  <c r="F12" i="2"/>
  <c r="E12" i="2"/>
  <c r="T12" i="2"/>
  <c r="U68" i="2" s="1"/>
  <c r="D12" i="2"/>
  <c r="S12" i="2"/>
  <c r="T68" i="2" s="1"/>
  <c r="R12" i="2"/>
  <c r="P12" i="2"/>
  <c r="I12" i="2"/>
  <c r="J68" i="2" s="1"/>
  <c r="Q12" i="2"/>
  <c r="M12" i="2"/>
  <c r="K12" i="2"/>
  <c r="L68" i="2" s="1"/>
  <c r="O12" i="2"/>
  <c r="N12" i="2"/>
  <c r="O68" i="2" s="1"/>
  <c r="L12" i="2"/>
  <c r="M68" i="2" s="1"/>
  <c r="J12" i="2"/>
  <c r="K68" i="2" s="1"/>
  <c r="G24" i="2"/>
  <c r="H80" i="2" s="1"/>
  <c r="M44" i="2"/>
  <c r="L44" i="2"/>
  <c r="K44" i="2"/>
  <c r="J44" i="2"/>
  <c r="I44" i="2"/>
  <c r="X44" i="2"/>
  <c r="H44" i="2"/>
  <c r="W44" i="2"/>
  <c r="G44" i="2"/>
  <c r="V44" i="2"/>
  <c r="F44" i="2"/>
  <c r="U44" i="2"/>
  <c r="E44" i="2"/>
  <c r="T44" i="2"/>
  <c r="D44" i="2"/>
  <c r="Q44" i="2"/>
  <c r="P44" i="2"/>
  <c r="O44" i="2"/>
  <c r="N44" i="2"/>
  <c r="S44" i="2"/>
  <c r="R44" i="2"/>
  <c r="I124" i="2"/>
  <c r="X124" i="2"/>
  <c r="H124" i="2"/>
  <c r="W124" i="2"/>
  <c r="G124" i="2"/>
  <c r="U124" i="2"/>
  <c r="T124" i="2"/>
  <c r="S124" i="2"/>
  <c r="R124" i="2"/>
  <c r="Q124" i="2"/>
  <c r="P124" i="2"/>
  <c r="O124" i="2"/>
  <c r="N124" i="2"/>
  <c r="M124" i="2"/>
  <c r="L124" i="2"/>
  <c r="J124" i="2"/>
  <c r="E124" i="2"/>
  <c r="V124" i="2"/>
  <c r="K124" i="2"/>
  <c r="F124" i="2"/>
  <c r="D124" i="2"/>
  <c r="Q97" i="2"/>
  <c r="P97" i="2"/>
  <c r="O97" i="2"/>
  <c r="N97" i="2"/>
  <c r="M97" i="2"/>
  <c r="L97" i="2"/>
  <c r="J97" i="2"/>
  <c r="I97" i="2"/>
  <c r="H97" i="2"/>
  <c r="I153" i="2" s="1"/>
  <c r="G97" i="2"/>
  <c r="F97" i="2"/>
  <c r="E97" i="2"/>
  <c r="D97" i="2"/>
  <c r="X97" i="2"/>
  <c r="W97" i="2"/>
  <c r="U97" i="2"/>
  <c r="K97" i="2"/>
  <c r="V97" i="2"/>
  <c r="W153" i="2" s="1"/>
  <c r="T97" i="2"/>
  <c r="S97" i="2"/>
  <c r="R97" i="2"/>
  <c r="W8" i="3"/>
  <c r="G8" i="3"/>
  <c r="U8" i="3"/>
  <c r="E8" i="3"/>
  <c r="O8" i="3"/>
  <c r="N8" i="3"/>
  <c r="M8" i="3"/>
  <c r="L8" i="3"/>
  <c r="K8" i="3"/>
  <c r="J8" i="3"/>
  <c r="I8" i="3"/>
  <c r="H8" i="3"/>
  <c r="F8" i="3"/>
  <c r="X8" i="3"/>
  <c r="D8" i="3"/>
  <c r="S8" i="3"/>
  <c r="R8" i="3"/>
  <c r="P8" i="3"/>
  <c r="V8" i="3"/>
  <c r="T8" i="3"/>
  <c r="Q8" i="3"/>
  <c r="K112" i="2"/>
  <c r="L168" i="2" s="1"/>
  <c r="X112" i="2"/>
  <c r="G112" i="2"/>
  <c r="W112" i="2"/>
  <c r="X168" i="2" s="1"/>
  <c r="F112" i="2"/>
  <c r="V112" i="2"/>
  <c r="E112" i="2"/>
  <c r="U112" i="2"/>
  <c r="V168" i="2" s="1"/>
  <c r="D112" i="2"/>
  <c r="T112" i="2"/>
  <c r="U168" i="2" s="1"/>
  <c r="S112" i="2"/>
  <c r="T168" i="2" s="1"/>
  <c r="R112" i="2"/>
  <c r="S168" i="2" s="1"/>
  <c r="P112" i="2"/>
  <c r="I112" i="2"/>
  <c r="H112" i="2"/>
  <c r="O112" i="2"/>
  <c r="J112" i="2"/>
  <c r="Q112" i="2"/>
  <c r="N112" i="2"/>
  <c r="M112" i="2"/>
  <c r="L112" i="2"/>
  <c r="X54" i="3"/>
  <c r="H54" i="3"/>
  <c r="W54" i="3"/>
  <c r="G54" i="3"/>
  <c r="V54" i="3"/>
  <c r="F54" i="3"/>
  <c r="U54" i="3"/>
  <c r="E54" i="3"/>
  <c r="T54" i="3"/>
  <c r="D54" i="3"/>
  <c r="R54" i="3"/>
  <c r="Q54" i="3"/>
  <c r="P54" i="3"/>
  <c r="O54" i="3"/>
  <c r="M54" i="3"/>
  <c r="I54" i="3"/>
  <c r="L54" i="3"/>
  <c r="K54" i="3"/>
  <c r="J54" i="3"/>
  <c r="N54" i="3"/>
  <c r="S54" i="3"/>
  <c r="N53" i="3"/>
  <c r="M53" i="3"/>
  <c r="L53" i="3"/>
  <c r="K53" i="3"/>
  <c r="J53" i="3"/>
  <c r="X53" i="3"/>
  <c r="H53" i="3"/>
  <c r="W53" i="3"/>
  <c r="G53" i="3"/>
  <c r="V53" i="3"/>
  <c r="F53" i="3"/>
  <c r="U53" i="3"/>
  <c r="E53" i="3"/>
  <c r="S53" i="3"/>
  <c r="O53" i="3"/>
  <c r="T53" i="3"/>
  <c r="R53" i="3"/>
  <c r="Q53" i="3"/>
  <c r="P53" i="3"/>
  <c r="I53" i="3"/>
  <c r="D53" i="3"/>
  <c r="V41" i="3"/>
  <c r="F41" i="3"/>
  <c r="U41" i="3"/>
  <c r="E41" i="3"/>
  <c r="T41" i="3"/>
  <c r="D41" i="3"/>
  <c r="S41" i="3"/>
  <c r="R41" i="3"/>
  <c r="P41" i="3"/>
  <c r="O41" i="3"/>
  <c r="N41" i="3"/>
  <c r="M41" i="3"/>
  <c r="K41" i="3"/>
  <c r="X41" i="3"/>
  <c r="W41" i="3"/>
  <c r="Q41" i="3"/>
  <c r="J41" i="3"/>
  <c r="I41" i="3"/>
  <c r="H41" i="3"/>
  <c r="G41" i="3"/>
  <c r="L41" i="3"/>
  <c r="T52" i="3"/>
  <c r="D52" i="3"/>
  <c r="S52" i="3"/>
  <c r="R52" i="3"/>
  <c r="Q52" i="3"/>
  <c r="P52" i="3"/>
  <c r="N52" i="3"/>
  <c r="M52" i="3"/>
  <c r="L52" i="3"/>
  <c r="K52" i="3"/>
  <c r="I52" i="3"/>
  <c r="U52" i="3"/>
  <c r="E52" i="3"/>
  <c r="G52" i="3"/>
  <c r="F52" i="3"/>
  <c r="W52" i="3"/>
  <c r="V52" i="3"/>
  <c r="O52" i="3"/>
  <c r="H52" i="3"/>
  <c r="X52" i="3"/>
  <c r="J52" i="3"/>
  <c r="X78" i="2"/>
  <c r="R11" i="2"/>
  <c r="S67" i="2" s="1"/>
  <c r="F21" i="2"/>
  <c r="G77" i="2" s="1"/>
  <c r="H14" i="2"/>
  <c r="I70" i="2" s="1"/>
  <c r="N78" i="2"/>
  <c r="X72" i="2"/>
  <c r="O78" i="2"/>
  <c r="Q161" i="4"/>
  <c r="Q189" i="4" s="1"/>
  <c r="M119" i="4"/>
  <c r="M147" i="4" s="1"/>
  <c r="M111" i="4"/>
  <c r="M139" i="4" s="1"/>
  <c r="M124" i="4"/>
  <c r="M152" i="4" s="1"/>
  <c r="M116" i="4"/>
  <c r="M144" i="4" s="1"/>
  <c r="M108" i="4"/>
  <c r="M136" i="4" s="1"/>
  <c r="M121" i="4"/>
  <c r="M149" i="4" s="1"/>
  <c r="M118" i="4"/>
  <c r="M146" i="4" s="1"/>
  <c r="M110" i="4"/>
  <c r="M138" i="4" s="1"/>
  <c r="M112" i="4"/>
  <c r="M140" i="4" s="1"/>
  <c r="M117" i="4"/>
  <c r="M145" i="4" s="1"/>
  <c r="M105" i="4"/>
  <c r="M133" i="4" s="1"/>
  <c r="M113" i="4"/>
  <c r="M141" i="4" s="1"/>
  <c r="M107" i="4"/>
  <c r="M135" i="4" s="1"/>
  <c r="M106" i="4"/>
  <c r="M134" i="4" s="1"/>
  <c r="M125" i="4"/>
  <c r="M153" i="4" s="1"/>
  <c r="M122" i="4"/>
  <c r="M150" i="4" s="1"/>
  <c r="M115" i="4"/>
  <c r="M143" i="4" s="1"/>
  <c r="M123" i="4"/>
  <c r="M151" i="4" s="1"/>
  <c r="M120" i="4"/>
  <c r="M148" i="4" s="1"/>
  <c r="M109" i="4"/>
  <c r="M137" i="4" s="1"/>
  <c r="M114" i="4"/>
  <c r="M142" i="4" s="1"/>
  <c r="N67" i="2"/>
  <c r="K98" i="2"/>
  <c r="J98" i="2"/>
  <c r="K154" i="2" s="1"/>
  <c r="I98" i="2"/>
  <c r="J154" i="2" s="1"/>
  <c r="X98" i="2"/>
  <c r="H98" i="2"/>
  <c r="W98" i="2"/>
  <c r="X154" i="2" s="1"/>
  <c r="G98" i="2"/>
  <c r="V98" i="2"/>
  <c r="F98" i="2"/>
  <c r="S98" i="2"/>
  <c r="P98" i="2"/>
  <c r="O98" i="2"/>
  <c r="N98" i="2"/>
  <c r="M98" i="2"/>
  <c r="L98" i="2"/>
  <c r="E98" i="2"/>
  <c r="D98" i="2"/>
  <c r="Q98" i="2"/>
  <c r="T98" i="2"/>
  <c r="U98" i="2"/>
  <c r="R98" i="2"/>
  <c r="F77" i="2"/>
  <c r="V49" i="3"/>
  <c r="F49" i="3"/>
  <c r="U49" i="3"/>
  <c r="E49" i="3"/>
  <c r="T49" i="3"/>
  <c r="D49" i="3"/>
  <c r="S49" i="3"/>
  <c r="R49" i="3"/>
  <c r="P49" i="3"/>
  <c r="O49" i="3"/>
  <c r="N49" i="3"/>
  <c r="M49" i="3"/>
  <c r="K49" i="3"/>
  <c r="W49" i="3"/>
  <c r="G49" i="3"/>
  <c r="X49" i="3"/>
  <c r="Q49" i="3"/>
  <c r="L49" i="3"/>
  <c r="J49" i="3"/>
  <c r="I49" i="3"/>
  <c r="H49" i="3"/>
  <c r="H22" i="2"/>
  <c r="J9" i="2"/>
  <c r="G9" i="2"/>
  <c r="I9" i="2"/>
  <c r="X9" i="2"/>
  <c r="H9" i="2"/>
  <c r="I65" i="2" s="1"/>
  <c r="W9" i="2"/>
  <c r="X65" i="2" s="1"/>
  <c r="V9" i="2"/>
  <c r="W65" i="2" s="1"/>
  <c r="F9" i="2"/>
  <c r="T9" i="2"/>
  <c r="D9" i="2"/>
  <c r="R9" i="2"/>
  <c r="O9" i="2"/>
  <c r="P65" i="2" s="1"/>
  <c r="N9" i="2"/>
  <c r="M9" i="2"/>
  <c r="L9" i="2"/>
  <c r="E9" i="2"/>
  <c r="K9" i="2"/>
  <c r="Q9" i="2"/>
  <c r="S9" i="2"/>
  <c r="P9" i="2"/>
  <c r="U9" i="2"/>
  <c r="P19" i="2"/>
  <c r="M77" i="2"/>
  <c r="X14" i="2"/>
  <c r="D11" i="2"/>
  <c r="E67" i="2" s="1"/>
  <c r="I80" i="2" l="1"/>
  <c r="W166" i="2"/>
  <c r="W148" i="2"/>
  <c r="S154" i="2"/>
  <c r="I154" i="2"/>
  <c r="K153" i="2"/>
  <c r="U84" i="2"/>
  <c r="X148" i="2"/>
  <c r="S162" i="2"/>
  <c r="H75" i="2"/>
  <c r="F16" i="5" s="1"/>
  <c r="P75" i="2"/>
  <c r="J150" i="2"/>
  <c r="X74" i="2"/>
  <c r="V15" i="5" s="1"/>
  <c r="T74" i="2"/>
  <c r="R15" i="5" s="1"/>
  <c r="I168" i="2"/>
  <c r="G49" i="5" s="1"/>
  <c r="H79" i="2"/>
  <c r="X83" i="2"/>
  <c r="S152" i="2"/>
  <c r="H71" i="2"/>
  <c r="P167" i="2"/>
  <c r="G161" i="2"/>
  <c r="R163" i="2"/>
  <c r="R157" i="2"/>
  <c r="R64" i="2"/>
  <c r="S149" i="2"/>
  <c r="G65" i="2"/>
  <c r="Q75" i="2"/>
  <c r="Q167" i="2"/>
  <c r="Q96" i="4" s="1"/>
  <c r="M76" i="2"/>
  <c r="K17" i="5" s="1"/>
  <c r="M148" i="2"/>
  <c r="M69" i="2"/>
  <c r="K10" i="5" s="1"/>
  <c r="M150" i="2"/>
  <c r="S150" i="2"/>
  <c r="G80" i="2"/>
  <c r="U74" i="2"/>
  <c r="U153" i="2"/>
  <c r="H84" i="2"/>
  <c r="T161" i="2"/>
  <c r="H76" i="2"/>
  <c r="P81" i="2"/>
  <c r="L72" i="2"/>
  <c r="L57" i="4" s="1"/>
  <c r="W83" i="2"/>
  <c r="U24" i="5" s="1"/>
  <c r="J156" i="2"/>
  <c r="Q77" i="2"/>
  <c r="O69" i="2"/>
  <c r="O54" i="4" s="1"/>
  <c r="V80" i="2"/>
  <c r="T21" i="5" s="1"/>
  <c r="I74" i="2"/>
  <c r="G15" i="5" s="1"/>
  <c r="T77" i="2"/>
  <c r="R18" i="5" s="1"/>
  <c r="K75" i="2"/>
  <c r="P69" i="2"/>
  <c r="J153" i="2"/>
  <c r="T75" i="2"/>
  <c r="P71" i="2"/>
  <c r="W159" i="2"/>
  <c r="J159" i="2"/>
  <c r="M84" i="2"/>
  <c r="V84" i="2"/>
  <c r="V64" i="2"/>
  <c r="T5" i="5" s="1"/>
  <c r="N72" i="2"/>
  <c r="N57" i="4" s="1"/>
  <c r="E70" i="2"/>
  <c r="I156" i="2"/>
  <c r="G37" i="5" s="1"/>
  <c r="P156" i="2"/>
  <c r="W79" i="2"/>
  <c r="W64" i="4" s="1"/>
  <c r="M154" i="2"/>
  <c r="R65" i="2"/>
  <c r="H65" i="2"/>
  <c r="U77" i="2"/>
  <c r="X159" i="2"/>
  <c r="I84" i="2"/>
  <c r="M75" i="2"/>
  <c r="U155" i="2"/>
  <c r="Q156" i="2"/>
  <c r="M72" i="2"/>
  <c r="M57" i="4" s="1"/>
  <c r="G66" i="2"/>
  <c r="J168" i="2"/>
  <c r="Q153" i="2"/>
  <c r="K65" i="2"/>
  <c r="I6" i="5" s="1"/>
  <c r="O154" i="2"/>
  <c r="M168" i="2"/>
  <c r="M97" i="4" s="1"/>
  <c r="M79" i="2"/>
  <c r="J77" i="2"/>
  <c r="O152" i="2"/>
  <c r="G152" i="2"/>
  <c r="R71" i="2"/>
  <c r="L159" i="2"/>
  <c r="N84" i="2"/>
  <c r="I167" i="2"/>
  <c r="X161" i="2"/>
  <c r="K76" i="2"/>
  <c r="H67" i="2"/>
  <c r="F8" i="5" s="1"/>
  <c r="V75" i="2"/>
  <c r="V60" i="4" s="1"/>
  <c r="N75" i="2"/>
  <c r="L16" i="5" s="1"/>
  <c r="U64" i="2"/>
  <c r="S5" i="5" s="1"/>
  <c r="S82" i="2"/>
  <c r="S67" i="4" s="1"/>
  <c r="R156" i="2"/>
  <c r="P37" i="5" s="1"/>
  <c r="W66" i="2"/>
  <c r="H151" i="2"/>
  <c r="H160" i="2"/>
  <c r="W70" i="2"/>
  <c r="I78" i="2"/>
  <c r="N79" i="2"/>
  <c r="E72" i="2"/>
  <c r="K155" i="2"/>
  <c r="V155" i="2"/>
  <c r="I73" i="2"/>
  <c r="K82" i="2"/>
  <c r="I23" i="5" s="1"/>
  <c r="L66" i="2"/>
  <c r="J151" i="2"/>
  <c r="E153" i="2"/>
  <c r="E82" i="4" s="1"/>
  <c r="S77" i="2"/>
  <c r="S62" i="4" s="1"/>
  <c r="S78" i="2"/>
  <c r="Q19" i="5" s="1"/>
  <c r="V83" i="2"/>
  <c r="T24" i="5" s="1"/>
  <c r="R83" i="2"/>
  <c r="L163" i="2"/>
  <c r="X157" i="2"/>
  <c r="L155" i="2"/>
  <c r="G64" i="2"/>
  <c r="M158" i="2"/>
  <c r="L82" i="2"/>
  <c r="E82" i="2"/>
  <c r="T156" i="2"/>
  <c r="X66" i="2"/>
  <c r="R168" i="2"/>
  <c r="X162" i="2"/>
  <c r="P79" i="2"/>
  <c r="N20" i="5" s="1"/>
  <c r="Q83" i="2"/>
  <c r="O24" i="5" s="1"/>
  <c r="R76" i="2"/>
  <c r="P17" i="5" s="1"/>
  <c r="M163" i="2"/>
  <c r="O157" i="2"/>
  <c r="I157" i="2"/>
  <c r="E151" i="2"/>
  <c r="T81" i="2"/>
  <c r="U80" i="2"/>
  <c r="F75" i="2"/>
  <c r="R67" i="2"/>
  <c r="U82" i="2"/>
  <c r="P72" i="2"/>
  <c r="M66" i="2"/>
  <c r="R84" i="2"/>
  <c r="I72" i="2"/>
  <c r="G13" i="5" s="1"/>
  <c r="H153" i="2"/>
  <c r="F34" i="5" s="1"/>
  <c r="P162" i="2"/>
  <c r="R79" i="2"/>
  <c r="R64" i="4" s="1"/>
  <c r="P159" i="2"/>
  <c r="S83" i="2"/>
  <c r="W163" i="2"/>
  <c r="L157" i="2"/>
  <c r="J157" i="2"/>
  <c r="D75" i="2"/>
  <c r="H64" i="2"/>
  <c r="X166" i="2"/>
  <c r="W156" i="2"/>
  <c r="U72" i="2"/>
  <c r="U11" i="5"/>
  <c r="W55" i="4"/>
  <c r="E8" i="5"/>
  <c r="G52" i="4"/>
  <c r="V24" i="5"/>
  <c r="X68" i="4"/>
  <c r="N48" i="5"/>
  <c r="P96" i="4"/>
  <c r="H13" i="5"/>
  <c r="J57" i="4"/>
  <c r="G24" i="5"/>
  <c r="I68" i="4"/>
  <c r="O48" i="5"/>
  <c r="E21" i="5"/>
  <c r="G65" i="4"/>
  <c r="U21" i="5"/>
  <c r="W65" i="4"/>
  <c r="H24" i="5"/>
  <c r="J68" i="4"/>
  <c r="V16" i="5"/>
  <c r="X60" i="4"/>
  <c r="J13" i="5"/>
  <c r="L21" i="5"/>
  <c r="N65" i="4"/>
  <c r="F48" i="5"/>
  <c r="H96" i="4"/>
  <c r="U16" i="5"/>
  <c r="W60" i="4"/>
  <c r="Q48" i="5"/>
  <c r="S96" i="4"/>
  <c r="B48" i="5"/>
  <c r="D96" i="4"/>
  <c r="L13" i="5"/>
  <c r="N21" i="5"/>
  <c r="P65" i="4"/>
  <c r="I16" i="5"/>
  <c r="K60" i="4"/>
  <c r="G16" i="5"/>
  <c r="I60" i="4"/>
  <c r="S18" i="5"/>
  <c r="U62" i="4"/>
  <c r="S8" i="5"/>
  <c r="U52" i="4"/>
  <c r="K16" i="5"/>
  <c r="M60" i="4"/>
  <c r="K13" i="5"/>
  <c r="C48" i="5"/>
  <c r="E96" i="4"/>
  <c r="T16" i="5"/>
  <c r="N60" i="4"/>
  <c r="M24" i="5"/>
  <c r="O68" i="4"/>
  <c r="I48" i="5"/>
  <c r="K96" i="4"/>
  <c r="V8" i="5"/>
  <c r="X52" i="4"/>
  <c r="N18" i="5"/>
  <c r="P62" i="4"/>
  <c r="H60" i="4"/>
  <c r="G48" i="5"/>
  <c r="I96" i="4"/>
  <c r="N24" i="5"/>
  <c r="P68" i="4"/>
  <c r="P24" i="5"/>
  <c r="R68" i="4"/>
  <c r="K48" i="5"/>
  <c r="M96" i="4"/>
  <c r="R24" i="5"/>
  <c r="T68" i="4"/>
  <c r="B18" i="5"/>
  <c r="D62" i="4"/>
  <c r="T48" i="5"/>
  <c r="V96" i="4"/>
  <c r="H8" i="5"/>
  <c r="J52" i="4"/>
  <c r="D16" i="5"/>
  <c r="F60" i="4"/>
  <c r="N13" i="5"/>
  <c r="P57" i="4"/>
  <c r="U48" i="5"/>
  <c r="W96" i="4"/>
  <c r="H19" i="5"/>
  <c r="J63" i="4"/>
  <c r="E16" i="5"/>
  <c r="G60" i="4"/>
  <c r="Q24" i="5"/>
  <c r="S68" i="4"/>
  <c r="V48" i="5"/>
  <c r="X96" i="4"/>
  <c r="J8" i="5"/>
  <c r="L52" i="4"/>
  <c r="B16" i="5"/>
  <c r="D60" i="4"/>
  <c r="S13" i="5"/>
  <c r="U57" i="4"/>
  <c r="H18" i="5"/>
  <c r="J62" i="4"/>
  <c r="K19" i="5"/>
  <c r="M63" i="4"/>
  <c r="L18" i="5"/>
  <c r="N62" i="4"/>
  <c r="D48" i="5"/>
  <c r="F96" i="4"/>
  <c r="L24" i="5"/>
  <c r="N68" i="4"/>
  <c r="E48" i="5"/>
  <c r="G96" i="4"/>
  <c r="B8" i="5"/>
  <c r="D52" i="4"/>
  <c r="M8" i="5"/>
  <c r="O52" i="4"/>
  <c r="S16" i="5"/>
  <c r="U60" i="4"/>
  <c r="I13" i="5"/>
  <c r="K57" i="4"/>
  <c r="G165" i="2"/>
  <c r="R9" i="5"/>
  <c r="T53" i="4"/>
  <c r="H48" i="5"/>
  <c r="J96" i="4"/>
  <c r="G38" i="5"/>
  <c r="I86" i="4"/>
  <c r="C32" i="5"/>
  <c r="E80" i="4"/>
  <c r="R22" i="5"/>
  <c r="T66" i="4"/>
  <c r="U8" i="5"/>
  <c r="W52" i="4"/>
  <c r="I155" i="2"/>
  <c r="S36" i="5"/>
  <c r="U84" i="4"/>
  <c r="G73" i="2"/>
  <c r="V49" i="4"/>
  <c r="G21" i="5"/>
  <c r="I65" i="4"/>
  <c r="V47" i="5"/>
  <c r="X95" i="4"/>
  <c r="P166" i="2"/>
  <c r="U148" i="2"/>
  <c r="J158" i="2"/>
  <c r="J82" i="2"/>
  <c r="Q23" i="5"/>
  <c r="H37" i="5"/>
  <c r="J85" i="4"/>
  <c r="N156" i="2"/>
  <c r="G83" i="2"/>
  <c r="K69" i="2"/>
  <c r="H31" i="5"/>
  <c r="J79" i="4"/>
  <c r="Q150" i="2"/>
  <c r="T59" i="4"/>
  <c r="Q149" i="2"/>
  <c r="J75" i="2"/>
  <c r="E7" i="5"/>
  <c r="G51" i="4"/>
  <c r="K18" i="5"/>
  <c r="M62" i="4"/>
  <c r="U6" i="5"/>
  <c r="W50" i="4"/>
  <c r="V154" i="2"/>
  <c r="J18" i="5"/>
  <c r="L62" i="4"/>
  <c r="Q168" i="2"/>
  <c r="H34" i="5"/>
  <c r="J82" i="4"/>
  <c r="E68" i="2"/>
  <c r="Q162" i="2"/>
  <c r="I162" i="2"/>
  <c r="S63" i="4"/>
  <c r="U160" i="2"/>
  <c r="O79" i="2"/>
  <c r="N152" i="2"/>
  <c r="V152" i="2"/>
  <c r="Q71" i="2"/>
  <c r="V40" i="5"/>
  <c r="X88" i="4"/>
  <c r="K159" i="2"/>
  <c r="F84" i="2"/>
  <c r="D84" i="2"/>
  <c r="M161" i="2"/>
  <c r="T76" i="2"/>
  <c r="X77" i="2"/>
  <c r="K21" i="5"/>
  <c r="M65" i="4"/>
  <c r="O163" i="2"/>
  <c r="Q157" i="2"/>
  <c r="F151" i="2"/>
  <c r="D151" i="2"/>
  <c r="E81" i="2"/>
  <c r="S21" i="5"/>
  <c r="U65" i="4"/>
  <c r="J155" i="2"/>
  <c r="D155" i="2"/>
  <c r="F155" i="2"/>
  <c r="W73" i="2"/>
  <c r="E64" i="2"/>
  <c r="I21" i="5"/>
  <c r="K65" i="4"/>
  <c r="M70" i="2"/>
  <c r="Q166" i="2"/>
  <c r="V148" i="2"/>
  <c r="K158" i="2"/>
  <c r="K67" i="4"/>
  <c r="T82" i="2"/>
  <c r="F156" i="2"/>
  <c r="D156" i="2"/>
  <c r="O156" i="2"/>
  <c r="L69" i="2"/>
  <c r="K150" i="2"/>
  <c r="R150" i="2"/>
  <c r="G74" i="2"/>
  <c r="E74" i="2"/>
  <c r="R149" i="2"/>
  <c r="W77" i="2"/>
  <c r="U7" i="5"/>
  <c r="W51" i="4"/>
  <c r="H164" i="2"/>
  <c r="W165" i="2"/>
  <c r="J7" i="5"/>
  <c r="L51" i="4"/>
  <c r="X164" i="2"/>
  <c r="F83" i="2"/>
  <c r="D83" i="2"/>
  <c r="N165" i="2"/>
  <c r="H165" i="2"/>
  <c r="E6" i="5"/>
  <c r="G50" i="4"/>
  <c r="H49" i="5"/>
  <c r="J97" i="4"/>
  <c r="I18" i="5"/>
  <c r="K62" i="4"/>
  <c r="E18" i="5"/>
  <c r="G62" i="4"/>
  <c r="H161" i="2"/>
  <c r="J38" i="5"/>
  <c r="L86" i="4"/>
  <c r="P47" i="5"/>
  <c r="R95" i="4"/>
  <c r="C23" i="5"/>
  <c r="E67" i="4"/>
  <c r="K31" i="5"/>
  <c r="M79" i="4"/>
  <c r="Q8" i="5"/>
  <c r="S52" i="4"/>
  <c r="M153" i="2"/>
  <c r="F68" i="2"/>
  <c r="D68" i="2"/>
  <c r="J162" i="2"/>
  <c r="G41" i="5"/>
  <c r="I89" i="4"/>
  <c r="S71" i="2"/>
  <c r="M159" i="2"/>
  <c r="K24" i="5"/>
  <c r="M68" i="4"/>
  <c r="S17" i="5"/>
  <c r="U61" i="4"/>
  <c r="F32" i="5"/>
  <c r="H80" i="4"/>
  <c r="E166" i="2"/>
  <c r="S23" i="5"/>
  <c r="U67" i="4"/>
  <c r="M10" i="5"/>
  <c r="T150" i="2"/>
  <c r="J164" i="2"/>
  <c r="I11" i="5"/>
  <c r="K55" i="4"/>
  <c r="P165" i="2"/>
  <c r="X165" i="2"/>
  <c r="Q35" i="5"/>
  <c r="S83" i="4"/>
  <c r="K44" i="5"/>
  <c r="M92" i="4"/>
  <c r="Q49" i="5"/>
  <c r="S97" i="4"/>
  <c r="P12" i="5"/>
  <c r="R56" i="4"/>
  <c r="T18" i="5"/>
  <c r="V62" i="4"/>
  <c r="P18" i="5"/>
  <c r="R62" i="4"/>
  <c r="Q31" i="5"/>
  <c r="S79" i="4"/>
  <c r="I35" i="5"/>
  <c r="K83" i="4"/>
  <c r="P43" i="5"/>
  <c r="R91" i="4"/>
  <c r="T41" i="5"/>
  <c r="V89" i="4"/>
  <c r="W152" i="2"/>
  <c r="Q42" i="5"/>
  <c r="S90" i="4"/>
  <c r="X163" i="2"/>
  <c r="H32" i="5"/>
  <c r="J80" i="4"/>
  <c r="J36" i="5"/>
  <c r="L84" i="4"/>
  <c r="V5" i="5"/>
  <c r="X49" i="4"/>
  <c r="J48" i="5"/>
  <c r="L96" i="4"/>
  <c r="N16" i="5"/>
  <c r="P60" i="4"/>
  <c r="V29" i="5"/>
  <c r="X77" i="4"/>
  <c r="L158" i="2"/>
  <c r="O37" i="5"/>
  <c r="Q85" i="4"/>
  <c r="O18" i="5"/>
  <c r="Q62" i="4"/>
  <c r="H150" i="2"/>
  <c r="V7" i="5"/>
  <c r="X51" i="4"/>
  <c r="Q65" i="2"/>
  <c r="E154" i="2"/>
  <c r="L154" i="2"/>
  <c r="V19" i="5"/>
  <c r="X63" i="4"/>
  <c r="S49" i="5"/>
  <c r="U97" i="4"/>
  <c r="S153" i="2"/>
  <c r="G68" i="2"/>
  <c r="K162" i="2"/>
  <c r="P20" i="5"/>
  <c r="N19" i="5"/>
  <c r="P63" i="4"/>
  <c r="Q152" i="2"/>
  <c r="C12" i="4"/>
  <c r="H152" i="2"/>
  <c r="E71" i="2"/>
  <c r="E40" i="5"/>
  <c r="G88" i="4"/>
  <c r="N159" i="2"/>
  <c r="K84" i="2"/>
  <c r="F25" i="5"/>
  <c r="H69" i="4"/>
  <c r="I42" i="5"/>
  <c r="K90" i="4"/>
  <c r="P161" i="2"/>
  <c r="V76" i="2"/>
  <c r="N163" i="2"/>
  <c r="S157" i="2"/>
  <c r="Q151" i="2"/>
  <c r="K151" i="2"/>
  <c r="V81" i="2"/>
  <c r="Q72" i="2"/>
  <c r="M155" i="2"/>
  <c r="N73" i="2"/>
  <c r="X73" i="2"/>
  <c r="E5" i="5"/>
  <c r="G49" i="4"/>
  <c r="E78" i="2"/>
  <c r="M48" i="5"/>
  <c r="O96" i="4"/>
  <c r="L11" i="5"/>
  <c r="N55" i="4"/>
  <c r="D166" i="2"/>
  <c r="F166" i="2"/>
  <c r="T166" i="2"/>
  <c r="O158" i="2"/>
  <c r="I82" i="2"/>
  <c r="V69" i="2"/>
  <c r="N10" i="5"/>
  <c r="P54" i="4"/>
  <c r="L150" i="2"/>
  <c r="K74" i="2"/>
  <c r="U149" i="2"/>
  <c r="K7" i="5"/>
  <c r="M51" i="4"/>
  <c r="K164" i="2"/>
  <c r="S165" i="2"/>
  <c r="I165" i="2"/>
  <c r="Q78" i="2"/>
  <c r="Q17" i="5"/>
  <c r="S61" i="4"/>
  <c r="U154" i="2"/>
  <c r="T36" i="5"/>
  <c r="V84" i="4"/>
  <c r="N37" i="5"/>
  <c r="P85" i="4"/>
  <c r="R49" i="5"/>
  <c r="T97" i="4"/>
  <c r="F19" i="5"/>
  <c r="H63" i="4"/>
  <c r="O20" i="5"/>
  <c r="Q64" i="4"/>
  <c r="K8" i="5"/>
  <c r="M52" i="4"/>
  <c r="M152" i="2"/>
  <c r="E159" i="2"/>
  <c r="U25" i="5"/>
  <c r="W69" i="4"/>
  <c r="M42" i="5"/>
  <c r="O90" i="4"/>
  <c r="N38" i="5"/>
  <c r="P86" i="4"/>
  <c r="D81" i="2"/>
  <c r="F81" i="2"/>
  <c r="P8" i="5"/>
  <c r="R52" i="4"/>
  <c r="M73" i="2"/>
  <c r="S166" i="2"/>
  <c r="F82" i="2"/>
  <c r="D82" i="2"/>
  <c r="T149" i="2"/>
  <c r="N153" i="2"/>
  <c r="U162" i="2"/>
  <c r="K160" i="2"/>
  <c r="G160" i="2"/>
  <c r="T65" i="2"/>
  <c r="J65" i="2"/>
  <c r="F154" i="2"/>
  <c r="D154" i="2"/>
  <c r="L8" i="5"/>
  <c r="N52" i="4"/>
  <c r="E168" i="2"/>
  <c r="T153" i="2"/>
  <c r="O153" i="2"/>
  <c r="F21" i="5"/>
  <c r="H65" i="4"/>
  <c r="W68" i="2"/>
  <c r="O162" i="2"/>
  <c r="L162" i="2"/>
  <c r="J160" i="2"/>
  <c r="W160" i="2"/>
  <c r="S79" i="2"/>
  <c r="P21" i="5"/>
  <c r="R65" i="4"/>
  <c r="L152" i="2"/>
  <c r="X152" i="2"/>
  <c r="U71" i="2"/>
  <c r="H159" i="2"/>
  <c r="J84" i="2"/>
  <c r="V25" i="5"/>
  <c r="X69" i="4"/>
  <c r="T11" i="5"/>
  <c r="V55" i="4"/>
  <c r="I161" i="2"/>
  <c r="Q161" i="2"/>
  <c r="G76" i="2"/>
  <c r="P163" i="2"/>
  <c r="T157" i="2"/>
  <c r="I151" i="2"/>
  <c r="L151" i="2"/>
  <c r="G81" i="2"/>
  <c r="O155" i="2"/>
  <c r="O73" i="2"/>
  <c r="J73" i="2"/>
  <c r="L64" i="2"/>
  <c r="O75" i="2"/>
  <c r="G166" i="2"/>
  <c r="G148" i="2"/>
  <c r="L148" i="2"/>
  <c r="U158" i="2"/>
  <c r="P158" i="2"/>
  <c r="W82" i="2"/>
  <c r="T70" i="2"/>
  <c r="Q37" i="5"/>
  <c r="S85" i="4"/>
  <c r="W69" i="2"/>
  <c r="Q69" i="2"/>
  <c r="N150" i="2"/>
  <c r="L74" i="2"/>
  <c r="F149" i="2"/>
  <c r="D149" i="2"/>
  <c r="O66" i="2"/>
  <c r="E164" i="2"/>
  <c r="L164" i="2"/>
  <c r="F72" i="2"/>
  <c r="D72" i="2"/>
  <c r="O165" i="2"/>
  <c r="K25" i="5"/>
  <c r="M69" i="4"/>
  <c r="T25" i="5"/>
  <c r="V69" i="4"/>
  <c r="E42" i="5"/>
  <c r="G90" i="4"/>
  <c r="P42" i="5"/>
  <c r="R90" i="4"/>
  <c r="U17" i="5"/>
  <c r="W61" i="4"/>
  <c r="Q163" i="2"/>
  <c r="K157" i="2"/>
  <c r="O151" i="2"/>
  <c r="M151" i="2"/>
  <c r="W81" i="2"/>
  <c r="J21" i="5"/>
  <c r="L65" i="4"/>
  <c r="P155" i="2"/>
  <c r="R73" i="2"/>
  <c r="H73" i="2"/>
  <c r="F64" i="2"/>
  <c r="D64" i="2"/>
  <c r="T72" i="2"/>
  <c r="H166" i="2"/>
  <c r="H148" i="2"/>
  <c r="K29" i="5"/>
  <c r="M77" i="4"/>
  <c r="V158" i="2"/>
  <c r="Q158" i="2"/>
  <c r="G82" i="2"/>
  <c r="R37" i="5"/>
  <c r="T85" i="4"/>
  <c r="X69" i="2"/>
  <c r="R69" i="2"/>
  <c r="O150" i="2"/>
  <c r="H74" i="2"/>
  <c r="V149" i="2"/>
  <c r="Q66" i="2"/>
  <c r="F164" i="2"/>
  <c r="D164" i="2"/>
  <c r="M164" i="2"/>
  <c r="M165" i="2"/>
  <c r="J165" i="2"/>
  <c r="J16" i="5"/>
  <c r="L60" i="4"/>
  <c r="N12" i="5"/>
  <c r="P56" i="4"/>
  <c r="H35" i="5"/>
  <c r="J83" i="4"/>
  <c r="I34" i="5"/>
  <c r="K82" i="4"/>
  <c r="F160" i="2"/>
  <c r="D160" i="2"/>
  <c r="E33" i="5"/>
  <c r="G81" i="4"/>
  <c r="U81" i="2"/>
  <c r="U29" i="5"/>
  <c r="W77" i="4"/>
  <c r="K39" i="5"/>
  <c r="M87" i="4"/>
  <c r="J11" i="5"/>
  <c r="L55" i="4"/>
  <c r="F74" i="2"/>
  <c r="D74" i="2"/>
  <c r="G6" i="5"/>
  <c r="I50" i="4"/>
  <c r="P6" i="5"/>
  <c r="R50" i="4"/>
  <c r="P153" i="2"/>
  <c r="L160" i="2"/>
  <c r="N33" i="5"/>
  <c r="P81" i="4"/>
  <c r="V21" i="5"/>
  <c r="X65" i="4"/>
  <c r="N154" i="2"/>
  <c r="F168" i="2"/>
  <c r="D168" i="2"/>
  <c r="K9" i="5"/>
  <c r="M53" i="4"/>
  <c r="X160" i="2"/>
  <c r="R152" i="2"/>
  <c r="N40" i="5"/>
  <c r="P88" i="4"/>
  <c r="R8" i="5"/>
  <c r="T52" i="4"/>
  <c r="G25" i="5"/>
  <c r="I69" i="4"/>
  <c r="F76" i="2"/>
  <c r="D76" i="2"/>
  <c r="P38" i="5"/>
  <c r="R86" i="4"/>
  <c r="G151" i="2"/>
  <c r="N151" i="2"/>
  <c r="I81" i="2"/>
  <c r="S11" i="5"/>
  <c r="U55" i="4"/>
  <c r="U36" i="5"/>
  <c r="W84" i="4"/>
  <c r="L73" i="2"/>
  <c r="K73" i="2"/>
  <c r="F5" i="5"/>
  <c r="H49" i="4"/>
  <c r="S70" i="2"/>
  <c r="I166" i="2"/>
  <c r="J148" i="2"/>
  <c r="N148" i="2"/>
  <c r="W158" i="2"/>
  <c r="P39" i="5"/>
  <c r="R87" i="4"/>
  <c r="V82" i="2"/>
  <c r="U156" i="2"/>
  <c r="N69" i="2"/>
  <c r="U150" i="2"/>
  <c r="J74" i="2"/>
  <c r="G149" i="2"/>
  <c r="S66" i="2"/>
  <c r="I164" i="2"/>
  <c r="N164" i="2"/>
  <c r="Q165" i="2"/>
  <c r="C41" i="5"/>
  <c r="E89" i="4"/>
  <c r="M33" i="5"/>
  <c r="O81" i="4"/>
  <c r="C17" i="5"/>
  <c r="E61" i="4"/>
  <c r="Q30" i="5"/>
  <c r="S78" i="4"/>
  <c r="T9" i="5"/>
  <c r="V53" i="4"/>
  <c r="T13" i="5"/>
  <c r="V57" i="4"/>
  <c r="T71" i="2"/>
  <c r="N71" i="2"/>
  <c r="D71" i="2"/>
  <c r="F71" i="2"/>
  <c r="R48" i="5"/>
  <c r="T96" i="4"/>
  <c r="J25" i="5"/>
  <c r="L69" i="4"/>
  <c r="I77" i="2"/>
  <c r="L161" i="2"/>
  <c r="P44" i="5"/>
  <c r="R92" i="4"/>
  <c r="D65" i="2"/>
  <c r="F65" i="2"/>
  <c r="G19" i="5"/>
  <c r="I63" i="4"/>
  <c r="M35" i="5"/>
  <c r="O83" i="4"/>
  <c r="W168" i="2"/>
  <c r="L153" i="2"/>
  <c r="R153" i="2"/>
  <c r="M9" i="5"/>
  <c r="O53" i="4"/>
  <c r="V9" i="5"/>
  <c r="X53" i="4"/>
  <c r="F162" i="2"/>
  <c r="D162" i="2"/>
  <c r="N160" i="2"/>
  <c r="X79" i="2"/>
  <c r="T79" i="2"/>
  <c r="V71" i="2"/>
  <c r="Q159" i="2"/>
  <c r="I8" i="5"/>
  <c r="K52" i="4"/>
  <c r="L25" i="5"/>
  <c r="N69" i="4"/>
  <c r="V78" i="2"/>
  <c r="R42" i="5"/>
  <c r="T90" i="4"/>
  <c r="O76" i="2"/>
  <c r="F17" i="5"/>
  <c r="H61" i="4"/>
  <c r="T80" i="2"/>
  <c r="S163" i="2"/>
  <c r="E157" i="2"/>
  <c r="P151" i="2"/>
  <c r="N81" i="2"/>
  <c r="X155" i="2"/>
  <c r="P73" i="2"/>
  <c r="S80" i="2"/>
  <c r="G5" i="5"/>
  <c r="I49" i="4"/>
  <c r="H21" i="5"/>
  <c r="J65" i="4"/>
  <c r="J166" i="2"/>
  <c r="F148" i="2"/>
  <c r="D148" i="2"/>
  <c r="O148" i="2"/>
  <c r="S158" i="2"/>
  <c r="X82" i="2"/>
  <c r="V156" i="2"/>
  <c r="E69" i="2"/>
  <c r="S69" i="2"/>
  <c r="V150" i="2"/>
  <c r="V74" i="2"/>
  <c r="W149" i="2"/>
  <c r="F66" i="2"/>
  <c r="D66" i="2"/>
  <c r="T66" i="2"/>
  <c r="G164" i="2"/>
  <c r="O164" i="2"/>
  <c r="K165" i="2"/>
  <c r="V43" i="5"/>
  <c r="X91" i="4"/>
  <c r="U40" i="5"/>
  <c r="W88" i="4"/>
  <c r="H42" i="5"/>
  <c r="J90" i="4"/>
  <c r="U159" i="2"/>
  <c r="E25" i="5"/>
  <c r="G69" i="4"/>
  <c r="F70" i="2"/>
  <c r="D70" i="2"/>
  <c r="G14" i="5"/>
  <c r="I58" i="4"/>
  <c r="N8" i="5"/>
  <c r="P52" i="4"/>
  <c r="J23" i="5"/>
  <c r="L67" i="4"/>
  <c r="U59" i="4"/>
  <c r="S15" i="5"/>
  <c r="V65" i="2"/>
  <c r="K35" i="5"/>
  <c r="M83" i="4"/>
  <c r="S34" i="5"/>
  <c r="U82" i="4"/>
  <c r="R19" i="5"/>
  <c r="T63" i="4"/>
  <c r="K166" i="2"/>
  <c r="E148" i="2"/>
  <c r="P148" i="2"/>
  <c r="Q67" i="2"/>
  <c r="N158" i="2"/>
  <c r="T158" i="2"/>
  <c r="U37" i="5"/>
  <c r="W85" i="4"/>
  <c r="F69" i="2"/>
  <c r="D69" i="2"/>
  <c r="I19" i="5"/>
  <c r="K63" i="4"/>
  <c r="W150" i="2"/>
  <c r="M74" i="2"/>
  <c r="E149" i="2"/>
  <c r="H149" i="2"/>
  <c r="H11" i="5"/>
  <c r="J55" i="4"/>
  <c r="I66" i="2"/>
  <c r="R66" i="2"/>
  <c r="Q164" i="2"/>
  <c r="P164" i="2"/>
  <c r="L165" i="2"/>
  <c r="G34" i="5"/>
  <c r="I82" i="4"/>
  <c r="L20" i="5"/>
  <c r="N64" i="4"/>
  <c r="S25" i="5"/>
  <c r="U69" i="4"/>
  <c r="I24" i="5"/>
  <c r="K68" i="4"/>
  <c r="V6" i="5"/>
  <c r="X50" i="4"/>
  <c r="J40" i="5"/>
  <c r="L88" i="4"/>
  <c r="I36" i="5"/>
  <c r="K84" i="4"/>
  <c r="C11" i="5"/>
  <c r="E55" i="4"/>
  <c r="U47" i="5"/>
  <c r="W95" i="4"/>
  <c r="R154" i="2"/>
  <c r="T49" i="5"/>
  <c r="V97" i="4"/>
  <c r="Q43" i="5"/>
  <c r="S91" i="4"/>
  <c r="E79" i="2"/>
  <c r="O159" i="2"/>
  <c r="L65" i="2"/>
  <c r="O34" i="5"/>
  <c r="Q82" i="4"/>
  <c r="F9" i="5"/>
  <c r="H53" i="4"/>
  <c r="U19" i="5"/>
  <c r="W63" i="4"/>
  <c r="M65" i="2"/>
  <c r="G168" i="2"/>
  <c r="I68" i="2"/>
  <c r="F20" i="5"/>
  <c r="H64" i="4"/>
  <c r="F79" i="2"/>
  <c r="D79" i="2"/>
  <c r="I71" i="2"/>
  <c r="P40" i="5"/>
  <c r="R88" i="4"/>
  <c r="M21" i="5"/>
  <c r="O65" i="4"/>
  <c r="M25" i="5"/>
  <c r="O69" i="4"/>
  <c r="P19" i="5"/>
  <c r="R63" i="4"/>
  <c r="P76" i="2"/>
  <c r="D78" i="2"/>
  <c r="F78" i="2"/>
  <c r="U157" i="2"/>
  <c r="R151" i="2"/>
  <c r="X81" i="2"/>
  <c r="N168" i="2"/>
  <c r="X153" i="2"/>
  <c r="Q160" i="2"/>
  <c r="J79" i="2"/>
  <c r="V79" i="2"/>
  <c r="M13" i="5"/>
  <c r="O57" i="4"/>
  <c r="J152" i="2"/>
  <c r="M71" i="2"/>
  <c r="W71" i="2"/>
  <c r="S159" i="2"/>
  <c r="G70" i="2"/>
  <c r="P84" i="2"/>
  <c r="V161" i="2"/>
  <c r="N76" i="2"/>
  <c r="I76" i="2"/>
  <c r="G163" i="2"/>
  <c r="E163" i="2"/>
  <c r="F157" i="2"/>
  <c r="D157" i="2"/>
  <c r="S151" i="2"/>
  <c r="R81" i="2"/>
  <c r="J81" i="2"/>
  <c r="N155" i="2"/>
  <c r="S73" i="2"/>
  <c r="V67" i="2"/>
  <c r="K64" i="2"/>
  <c r="M166" i="2"/>
  <c r="I148" i="2"/>
  <c r="J19" i="5"/>
  <c r="L63" i="4"/>
  <c r="X158" i="2"/>
  <c r="M82" i="2"/>
  <c r="G69" i="2"/>
  <c r="X150" i="2"/>
  <c r="N74" i="2"/>
  <c r="K149" i="2"/>
  <c r="X149" i="2"/>
  <c r="O77" i="2"/>
  <c r="H66" i="2"/>
  <c r="E66" i="2"/>
  <c r="R164" i="2"/>
  <c r="R165" i="2"/>
  <c r="F6" i="5"/>
  <c r="H50" i="4"/>
  <c r="I9" i="5"/>
  <c r="K53" i="4"/>
  <c r="F41" i="5"/>
  <c r="H89" i="4"/>
  <c r="F13" i="5"/>
  <c r="H57" i="4"/>
  <c r="L71" i="2"/>
  <c r="D8" i="5"/>
  <c r="F52" i="4"/>
  <c r="U34" i="5"/>
  <c r="W82" i="4"/>
  <c r="C43" i="5"/>
  <c r="E91" i="4"/>
  <c r="M160" i="2"/>
  <c r="U79" i="2"/>
  <c r="P154" i="2"/>
  <c r="K49" i="5"/>
  <c r="V153" i="2"/>
  <c r="P68" i="2"/>
  <c r="M162" i="2"/>
  <c r="O160" i="2"/>
  <c r="I152" i="2"/>
  <c r="G71" i="2"/>
  <c r="S42" i="5"/>
  <c r="U90" i="4"/>
  <c r="X76" i="2"/>
  <c r="T163" i="2"/>
  <c r="N22" i="5"/>
  <c r="P66" i="4"/>
  <c r="Q73" i="2"/>
  <c r="N65" i="2"/>
  <c r="Q154" i="2"/>
  <c r="V49" i="5"/>
  <c r="X97" i="4"/>
  <c r="J9" i="5"/>
  <c r="L53" i="4"/>
  <c r="N162" i="2"/>
  <c r="O65" i="2"/>
  <c r="T154" i="2"/>
  <c r="O168" i="2"/>
  <c r="H168" i="2"/>
  <c r="N68" i="2"/>
  <c r="T162" i="2"/>
  <c r="R160" i="2"/>
  <c r="G79" i="2"/>
  <c r="K152" i="2"/>
  <c r="X71" i="2"/>
  <c r="T159" i="2"/>
  <c r="F80" i="2"/>
  <c r="D80" i="2"/>
  <c r="Q84" i="2"/>
  <c r="W161" i="2"/>
  <c r="J76" i="2"/>
  <c r="H163" i="2"/>
  <c r="U163" i="2"/>
  <c r="V157" i="2"/>
  <c r="T151" i="2"/>
  <c r="Q81" i="2"/>
  <c r="H81" i="2"/>
  <c r="Q155" i="2"/>
  <c r="T73" i="2"/>
  <c r="J64" i="2"/>
  <c r="M64" i="2"/>
  <c r="U166" i="2"/>
  <c r="K148" i="2"/>
  <c r="E158" i="2"/>
  <c r="N82" i="2"/>
  <c r="H156" i="2"/>
  <c r="H69" i="2"/>
  <c r="O74" i="2"/>
  <c r="L149" i="2"/>
  <c r="I149" i="2"/>
  <c r="P70" i="2"/>
  <c r="K66" i="2"/>
  <c r="U66" i="2"/>
  <c r="S164" i="2"/>
  <c r="R75" i="2"/>
  <c r="T165" i="2"/>
  <c r="D21" i="4"/>
  <c r="C21" i="4"/>
  <c r="V166" i="2"/>
  <c r="Q148" i="2"/>
  <c r="D158" i="2"/>
  <c r="F158" i="2"/>
  <c r="O82" i="2"/>
  <c r="V11" i="5"/>
  <c r="X55" i="4"/>
  <c r="V37" i="5"/>
  <c r="X85" i="4"/>
  <c r="J69" i="2"/>
  <c r="E150" i="2"/>
  <c r="P74" i="2"/>
  <c r="N149" i="2"/>
  <c r="H77" i="2"/>
  <c r="J66" i="2"/>
  <c r="E80" i="2"/>
  <c r="T164" i="2"/>
  <c r="E165" i="2"/>
  <c r="G35" i="5"/>
  <c r="I83" i="4"/>
  <c r="F152" i="2"/>
  <c r="D152" i="2"/>
  <c r="L42" i="5"/>
  <c r="N90" i="4"/>
  <c r="N6" i="5"/>
  <c r="P50" i="4"/>
  <c r="G154" i="2"/>
  <c r="P49" i="5"/>
  <c r="R97" i="4"/>
  <c r="R68" i="2"/>
  <c r="R16" i="5"/>
  <c r="T60" i="4"/>
  <c r="Q33" i="5"/>
  <c r="S81" i="4"/>
  <c r="F159" i="2"/>
  <c r="D159" i="2"/>
  <c r="P25" i="5"/>
  <c r="R69" i="4"/>
  <c r="W154" i="2"/>
  <c r="M19" i="5"/>
  <c r="O63" i="4"/>
  <c r="J49" i="5"/>
  <c r="L97" i="4"/>
  <c r="H9" i="5"/>
  <c r="J53" i="4"/>
  <c r="T152" i="2"/>
  <c r="J71" i="2"/>
  <c r="V159" i="2"/>
  <c r="S75" i="2"/>
  <c r="S84" i="2"/>
  <c r="E13" i="5"/>
  <c r="G57" i="4"/>
  <c r="J17" i="5"/>
  <c r="L61" i="4"/>
  <c r="C13" i="5"/>
  <c r="E57" i="4"/>
  <c r="J163" i="2"/>
  <c r="V163" i="2"/>
  <c r="W157" i="2"/>
  <c r="V151" i="2"/>
  <c r="L81" i="2"/>
  <c r="L48" i="5"/>
  <c r="N96" i="4"/>
  <c r="S155" i="2"/>
  <c r="U73" i="2"/>
  <c r="T64" i="2"/>
  <c r="O64" i="2"/>
  <c r="L166" i="2"/>
  <c r="R148" i="2"/>
  <c r="G158" i="2"/>
  <c r="P82" i="2"/>
  <c r="I37" i="5"/>
  <c r="K85" i="4"/>
  <c r="T69" i="2"/>
  <c r="F150" i="2"/>
  <c r="D150" i="2"/>
  <c r="Q74" i="2"/>
  <c r="M149" i="2"/>
  <c r="J149" i="2"/>
  <c r="N66" i="2"/>
  <c r="E83" i="2"/>
  <c r="U164" i="2"/>
  <c r="U165" i="2"/>
  <c r="G11" i="5"/>
  <c r="I55" i="4"/>
  <c r="O16" i="5"/>
  <c r="Q60" i="4"/>
  <c r="N43" i="5"/>
  <c r="P91" i="4"/>
  <c r="P11" i="5"/>
  <c r="R55" i="4"/>
  <c r="U44" i="5"/>
  <c r="W92" i="4"/>
  <c r="C34" i="5"/>
  <c r="V162" i="2"/>
  <c r="I20" i="5"/>
  <c r="K64" i="4"/>
  <c r="F12" i="5"/>
  <c r="H56" i="4"/>
  <c r="U83" i="2"/>
  <c r="V42" i="5"/>
  <c r="X90" i="4"/>
  <c r="K61" i="4"/>
  <c r="I17" i="5"/>
  <c r="P48" i="5"/>
  <c r="R96" i="4"/>
  <c r="I163" i="2"/>
  <c r="D163" i="2"/>
  <c r="F163" i="2"/>
  <c r="G157" i="2"/>
  <c r="U151" i="2"/>
  <c r="O81" i="2"/>
  <c r="K81" i="2"/>
  <c r="R155" i="2"/>
  <c r="E73" i="2"/>
  <c r="P5" i="5"/>
  <c r="R49" i="4"/>
  <c r="L5" i="5"/>
  <c r="N49" i="4"/>
  <c r="S65" i="2"/>
  <c r="K168" i="2"/>
  <c r="F153" i="2"/>
  <c r="D153" i="2"/>
  <c r="G162" i="2"/>
  <c r="P160" i="2"/>
  <c r="L79" i="2"/>
  <c r="S48" i="5"/>
  <c r="U96" i="4"/>
  <c r="E65" i="2"/>
  <c r="D18" i="5"/>
  <c r="F62" i="4"/>
  <c r="H154" i="2"/>
  <c r="V13" i="5"/>
  <c r="X57" i="4"/>
  <c r="P168" i="2"/>
  <c r="G153" i="2"/>
  <c r="Q68" i="2"/>
  <c r="B12" i="4"/>
  <c r="W162" i="2"/>
  <c r="Q80" i="2"/>
  <c r="S160" i="2"/>
  <c r="I79" i="2"/>
  <c r="E152" i="2"/>
  <c r="K71" i="2"/>
  <c r="I159" i="2"/>
  <c r="G78" i="2"/>
  <c r="T84" i="2"/>
  <c r="U13" i="5"/>
  <c r="W57" i="4"/>
  <c r="E161" i="2"/>
  <c r="Q76" i="2"/>
  <c r="I67" i="2"/>
  <c r="K163" i="2"/>
  <c r="M157" i="2"/>
  <c r="H157" i="2"/>
  <c r="W151" i="2"/>
  <c r="M81" i="2"/>
  <c r="U78" i="2"/>
  <c r="H155" i="2"/>
  <c r="T155" i="2"/>
  <c r="F73" i="2"/>
  <c r="D73" i="2"/>
  <c r="W64" i="2"/>
  <c r="P64" i="2"/>
  <c r="N166" i="2"/>
  <c r="S148" i="2"/>
  <c r="H158" i="2"/>
  <c r="Q82" i="2"/>
  <c r="E156" i="2"/>
  <c r="L156" i="2"/>
  <c r="I69" i="2"/>
  <c r="G150" i="2"/>
  <c r="W74" i="2"/>
  <c r="R74" i="2"/>
  <c r="O149" i="2"/>
  <c r="D20" i="4"/>
  <c r="C20" i="4"/>
  <c r="P66" i="2"/>
  <c r="E77" i="2"/>
  <c r="V164" i="2"/>
  <c r="F165" i="2"/>
  <c r="D165" i="2"/>
  <c r="H40" i="5"/>
  <c r="J88" i="4"/>
  <c r="M38" i="5"/>
  <c r="O86" i="4"/>
  <c r="S9" i="5"/>
  <c r="U53" i="4"/>
  <c r="J24" i="5"/>
  <c r="L68" i="4"/>
  <c r="H38" i="5"/>
  <c r="J86" i="4"/>
  <c r="C8" i="5"/>
  <c r="E52" i="4"/>
  <c r="U65" i="2"/>
  <c r="V35" i="5"/>
  <c r="X83" i="4"/>
  <c r="L19" i="5"/>
  <c r="N63" i="4"/>
  <c r="H82" i="4"/>
  <c r="S68" i="2"/>
  <c r="H162" i="2"/>
  <c r="F11" i="5"/>
  <c r="H55" i="4"/>
  <c r="T160" i="2"/>
  <c r="K20" i="5"/>
  <c r="M64" i="4"/>
  <c r="U152" i="2"/>
  <c r="O71" i="2"/>
  <c r="E84" i="2"/>
  <c r="F161" i="2"/>
  <c r="D161" i="2"/>
  <c r="P13" i="5"/>
  <c r="R57" i="4"/>
  <c r="E75" i="2"/>
  <c r="J44" i="5"/>
  <c r="L92" i="4"/>
  <c r="N157" i="2"/>
  <c r="V38" i="5"/>
  <c r="X86" i="4"/>
  <c r="X151" i="2"/>
  <c r="S81" i="2"/>
  <c r="Q70" i="2"/>
  <c r="O70" i="2"/>
  <c r="G155" i="2"/>
  <c r="E155" i="2"/>
  <c r="V73" i="2"/>
  <c r="S64" i="2"/>
  <c r="Q64" i="2"/>
  <c r="H83" i="2"/>
  <c r="O166" i="2"/>
  <c r="T148" i="2"/>
  <c r="I158" i="2"/>
  <c r="H82" i="2"/>
  <c r="R82" i="2"/>
  <c r="G156" i="2"/>
  <c r="M156" i="2"/>
  <c r="U69" i="2"/>
  <c r="I150" i="2"/>
  <c r="P150" i="2"/>
  <c r="S74" i="2"/>
  <c r="P149" i="2"/>
  <c r="S72" i="2"/>
  <c r="V66" i="2"/>
  <c r="W164" i="2"/>
  <c r="V165" i="2"/>
  <c r="U20" i="5" l="1"/>
  <c r="Q18" i="5"/>
  <c r="R61" i="4"/>
  <c r="I97" i="4"/>
  <c r="X59" i="4"/>
  <c r="M54" i="4"/>
  <c r="R85" i="4"/>
  <c r="V68" i="4"/>
  <c r="V65" i="4"/>
  <c r="P64" i="4"/>
  <c r="U49" i="4"/>
  <c r="I57" i="4"/>
  <c r="Q68" i="4"/>
  <c r="H52" i="4"/>
  <c r="T62" i="4"/>
  <c r="I59" i="4"/>
  <c r="I85" i="4"/>
  <c r="E21" i="4"/>
  <c r="K50" i="4"/>
  <c r="W68" i="4"/>
  <c r="M61" i="4"/>
  <c r="F21" i="4"/>
  <c r="R32" i="5"/>
  <c r="T80" i="4"/>
  <c r="N31" i="5"/>
  <c r="P79" i="4"/>
  <c r="T14" i="5"/>
  <c r="V58" i="4"/>
  <c r="G8" i="5"/>
  <c r="I52" i="4"/>
  <c r="N30" i="5"/>
  <c r="P78" i="4"/>
  <c r="C36" i="5"/>
  <c r="E84" i="4"/>
  <c r="B42" i="5"/>
  <c r="D90" i="4"/>
  <c r="F39" i="5"/>
  <c r="H87" i="4"/>
  <c r="O17" i="5"/>
  <c r="Q61" i="4"/>
  <c r="N49" i="5"/>
  <c r="P97" i="4"/>
  <c r="H10" i="5"/>
  <c r="J54" i="4"/>
  <c r="I7" i="5"/>
  <c r="K51" i="4"/>
  <c r="O22" i="5"/>
  <c r="Q66" i="4"/>
  <c r="L9" i="5"/>
  <c r="N53" i="4"/>
  <c r="V17" i="5"/>
  <c r="X61" i="4"/>
  <c r="F7" i="5"/>
  <c r="H51" i="4"/>
  <c r="L36" i="5"/>
  <c r="N84" i="4"/>
  <c r="H33" i="5"/>
  <c r="J81" i="4"/>
  <c r="J46" i="5"/>
  <c r="L94" i="4"/>
  <c r="Q39" i="5"/>
  <c r="S87" i="4"/>
  <c r="R21" i="5"/>
  <c r="T65" i="4"/>
  <c r="B43" i="5"/>
  <c r="D91" i="4"/>
  <c r="T23" i="5"/>
  <c r="V67" i="4"/>
  <c r="G22" i="5"/>
  <c r="I66" i="4"/>
  <c r="V41" i="5"/>
  <c r="X89" i="4"/>
  <c r="P10" i="5"/>
  <c r="R54" i="4"/>
  <c r="N36" i="5"/>
  <c r="P84" i="4"/>
  <c r="R11" i="5"/>
  <c r="T55" i="4"/>
  <c r="N44" i="5"/>
  <c r="P92" i="4"/>
  <c r="U41" i="5"/>
  <c r="W89" i="4"/>
  <c r="E41" i="5"/>
  <c r="G89" i="4"/>
  <c r="V14" i="5"/>
  <c r="X58" i="4"/>
  <c r="L40" i="5"/>
  <c r="N88" i="4"/>
  <c r="P31" i="5"/>
  <c r="R79" i="4"/>
  <c r="U14" i="5"/>
  <c r="W58" i="4"/>
  <c r="B25" i="5"/>
  <c r="D69" i="4"/>
  <c r="L32" i="5"/>
  <c r="N80" i="4"/>
  <c r="I41" i="5"/>
  <c r="K89" i="4"/>
  <c r="D36" i="5"/>
  <c r="F84" i="4"/>
  <c r="M46" i="5"/>
  <c r="O94" i="4"/>
  <c r="O42" i="5"/>
  <c r="Q90" i="4"/>
  <c r="S43" i="5"/>
  <c r="U91" i="4"/>
  <c r="K36" i="5"/>
  <c r="M84" i="4"/>
  <c r="B36" i="5"/>
  <c r="D84" i="4"/>
  <c r="N5" i="5"/>
  <c r="P49" i="4"/>
  <c r="F35" i="5"/>
  <c r="H83" i="4"/>
  <c r="S24" i="5"/>
  <c r="U68" i="4"/>
  <c r="P29" i="5"/>
  <c r="R77" i="4"/>
  <c r="J30" i="5"/>
  <c r="L78" i="4"/>
  <c r="S44" i="5"/>
  <c r="U92" i="4"/>
  <c r="R35" i="5"/>
  <c r="T83" i="4"/>
  <c r="E12" i="5"/>
  <c r="G56" i="4"/>
  <c r="I30" i="5"/>
  <c r="K78" i="4"/>
  <c r="Q32" i="5"/>
  <c r="S80" i="4"/>
  <c r="T20" i="5"/>
  <c r="V64" i="4"/>
  <c r="P7" i="5"/>
  <c r="R51" i="4"/>
  <c r="O8" i="5"/>
  <c r="Q52" i="4"/>
  <c r="I46" i="5"/>
  <c r="K94" i="4"/>
  <c r="D29" i="5"/>
  <c r="F77" i="4"/>
  <c r="M17" i="5"/>
  <c r="O61" i="4"/>
  <c r="U39" i="5"/>
  <c r="W87" i="4"/>
  <c r="B49" i="5"/>
  <c r="D97" i="4"/>
  <c r="D15" i="5"/>
  <c r="F59" i="4"/>
  <c r="U22" i="5"/>
  <c r="W66" i="4"/>
  <c r="B13" i="5"/>
  <c r="D57" i="4"/>
  <c r="S39" i="5"/>
  <c r="U87" i="4"/>
  <c r="G42" i="5"/>
  <c r="I90" i="4"/>
  <c r="M43" i="5"/>
  <c r="O91" i="4"/>
  <c r="L34" i="5"/>
  <c r="N82" i="4"/>
  <c r="S35" i="5"/>
  <c r="U83" i="4"/>
  <c r="O13" i="5"/>
  <c r="Q57" i="4"/>
  <c r="C12" i="5"/>
  <c r="E56" i="4"/>
  <c r="C35" i="5"/>
  <c r="E83" i="4"/>
  <c r="V46" i="5"/>
  <c r="X94" i="4"/>
  <c r="B24" i="5"/>
  <c r="D68" i="4"/>
  <c r="M37" i="5"/>
  <c r="O85" i="4"/>
  <c r="H36" i="5"/>
  <c r="J84" i="4"/>
  <c r="H22" i="5"/>
  <c r="J66" i="4"/>
  <c r="J42" i="5"/>
  <c r="L90" i="4"/>
  <c r="U23" i="5"/>
  <c r="W67" i="4"/>
  <c r="D25" i="5"/>
  <c r="F69" i="4"/>
  <c r="T38" i="5"/>
  <c r="V86" i="4"/>
  <c r="X78" i="4"/>
  <c r="V30" i="5"/>
  <c r="G18" i="5"/>
  <c r="I62" i="4"/>
  <c r="B15" i="5"/>
  <c r="D59" i="4"/>
  <c r="N39" i="5"/>
  <c r="P87" i="4"/>
  <c r="J43" i="5"/>
  <c r="L91" i="4"/>
  <c r="J35" i="5"/>
  <c r="L83" i="4"/>
  <c r="L46" i="5"/>
  <c r="N94" i="4"/>
  <c r="J10" i="5"/>
  <c r="L54" i="4"/>
  <c r="I40" i="5"/>
  <c r="K88" i="4"/>
  <c r="G31" i="5"/>
  <c r="I79" i="4"/>
  <c r="O11" i="5"/>
  <c r="Q55" i="4"/>
  <c r="M12" i="5"/>
  <c r="O56" i="4"/>
  <c r="T45" i="5"/>
  <c r="V93" i="4"/>
  <c r="S10" i="5"/>
  <c r="U54" i="4"/>
  <c r="Q22" i="5"/>
  <c r="S66" i="4"/>
  <c r="S33" i="5"/>
  <c r="U81" i="4"/>
  <c r="S6" i="5"/>
  <c r="U50" i="4"/>
  <c r="C18" i="5"/>
  <c r="E62" i="4"/>
  <c r="U5" i="5"/>
  <c r="W49" i="4"/>
  <c r="R25" i="5"/>
  <c r="T69" i="4"/>
  <c r="C14" i="5"/>
  <c r="E58" i="4"/>
  <c r="J47" i="5"/>
  <c r="L95" i="4"/>
  <c r="B40" i="5"/>
  <c r="D88" i="4"/>
  <c r="B33" i="5"/>
  <c r="D81" i="4"/>
  <c r="M15" i="5"/>
  <c r="O59" i="4"/>
  <c r="F44" i="5"/>
  <c r="H92" i="4"/>
  <c r="M6" i="5"/>
  <c r="O50" i="4"/>
  <c r="G33" i="5"/>
  <c r="I81" i="4"/>
  <c r="J12" i="5"/>
  <c r="L56" i="4"/>
  <c r="L15" i="5"/>
  <c r="N59" i="4"/>
  <c r="B38" i="5"/>
  <c r="D86" i="4"/>
  <c r="H20" i="5"/>
  <c r="J64" i="4"/>
  <c r="J6" i="5"/>
  <c r="L50" i="4"/>
  <c r="G7" i="5"/>
  <c r="I51" i="4"/>
  <c r="N29" i="5"/>
  <c r="P77" i="4"/>
  <c r="M45" i="5"/>
  <c r="O93" i="4"/>
  <c r="H47" i="5"/>
  <c r="J95" i="4"/>
  <c r="L29" i="5"/>
  <c r="N77" i="4"/>
  <c r="D49" i="5"/>
  <c r="F97" i="4"/>
  <c r="E23" i="5"/>
  <c r="G67" i="4"/>
  <c r="K32" i="5"/>
  <c r="M80" i="4"/>
  <c r="D13" i="5"/>
  <c r="F57" i="4"/>
  <c r="J29" i="5"/>
  <c r="L77" i="4"/>
  <c r="U9" i="5"/>
  <c r="W53" i="4"/>
  <c r="R30" i="5"/>
  <c r="T78" i="4"/>
  <c r="G23" i="5"/>
  <c r="I67" i="4"/>
  <c r="T22" i="5"/>
  <c r="V66" i="4"/>
  <c r="F33" i="5"/>
  <c r="H81" i="4"/>
  <c r="O6" i="5"/>
  <c r="Q50" i="4"/>
  <c r="N46" i="5"/>
  <c r="P94" i="4"/>
  <c r="K40" i="5"/>
  <c r="M88" i="4"/>
  <c r="D24" i="5"/>
  <c r="F68" i="4"/>
  <c r="B37" i="5"/>
  <c r="D85" i="4"/>
  <c r="T35" i="5"/>
  <c r="V83" i="4"/>
  <c r="I10" i="5"/>
  <c r="K54" i="4"/>
  <c r="N23" i="5"/>
  <c r="P67" i="4"/>
  <c r="H41" i="5"/>
  <c r="J89" i="4"/>
  <c r="O49" i="5"/>
  <c r="Q97" i="4"/>
  <c r="Q12" i="5"/>
  <c r="S56" i="4"/>
  <c r="V45" i="5"/>
  <c r="X93" i="4"/>
  <c r="D37" i="5"/>
  <c r="F85" i="4"/>
  <c r="O12" i="5"/>
  <c r="Q56" i="4"/>
  <c r="E24" i="5"/>
  <c r="G68" i="4"/>
  <c r="E14" i="5"/>
  <c r="G58" i="4"/>
  <c r="E46" i="5"/>
  <c r="G94" i="4"/>
  <c r="Q25" i="5"/>
  <c r="S69" i="4"/>
  <c r="D39" i="5"/>
  <c r="F87" i="4"/>
  <c r="F37" i="5"/>
  <c r="H85" i="4"/>
  <c r="U42" i="5"/>
  <c r="W90" i="4"/>
  <c r="K43" i="5"/>
  <c r="M91" i="4"/>
  <c r="E10" i="5"/>
  <c r="G54" i="4"/>
  <c r="C44" i="5"/>
  <c r="E92" i="4"/>
  <c r="V34" i="5"/>
  <c r="X82" i="4"/>
  <c r="G12" i="5"/>
  <c r="I56" i="4"/>
  <c r="C20" i="5"/>
  <c r="E64" i="4"/>
  <c r="I47" i="5"/>
  <c r="K95" i="4"/>
  <c r="R7" i="5"/>
  <c r="T51" i="4"/>
  <c r="T19" i="5"/>
  <c r="V63" i="4"/>
  <c r="P34" i="5"/>
  <c r="R82" i="4"/>
  <c r="G47" i="5"/>
  <c r="I95" i="4"/>
  <c r="D17" i="5"/>
  <c r="F61" i="4"/>
  <c r="T39" i="5"/>
  <c r="V87" i="4"/>
  <c r="I38" i="5"/>
  <c r="K86" i="4"/>
  <c r="C45" i="5"/>
  <c r="E93" i="4"/>
  <c r="E47" i="5"/>
  <c r="G95" i="4"/>
  <c r="K33" i="5"/>
  <c r="M81" i="4"/>
  <c r="O19" i="5"/>
  <c r="Q63" i="4"/>
  <c r="R47" i="5"/>
  <c r="T95" i="4"/>
  <c r="O32" i="5"/>
  <c r="Q80" i="4"/>
  <c r="O33" i="5"/>
  <c r="Q81" i="4"/>
  <c r="R23" i="5"/>
  <c r="T67" i="4"/>
  <c r="C22" i="5"/>
  <c r="E66" i="4"/>
  <c r="T33" i="5"/>
  <c r="V81" i="4"/>
  <c r="L37" i="5"/>
  <c r="N85" i="4"/>
  <c r="O25" i="5"/>
  <c r="Q69" i="4"/>
  <c r="N9" i="5"/>
  <c r="P53" i="4"/>
  <c r="K23" i="5"/>
  <c r="M67" i="4"/>
  <c r="E44" i="5"/>
  <c r="G92" i="4"/>
  <c r="L49" i="5"/>
  <c r="N97" i="4"/>
  <c r="B20" i="5"/>
  <c r="D64" i="4"/>
  <c r="F30" i="5"/>
  <c r="H78" i="4"/>
  <c r="B7" i="5"/>
  <c r="D51" i="4"/>
  <c r="J34" i="5"/>
  <c r="L82" i="4"/>
  <c r="D12" i="5"/>
  <c r="F56" i="4"/>
  <c r="O46" i="5"/>
  <c r="Q94" i="4"/>
  <c r="Q11" i="5"/>
  <c r="S55" i="4"/>
  <c r="H46" i="5"/>
  <c r="J94" i="4"/>
  <c r="O44" i="5"/>
  <c r="Q92" i="4"/>
  <c r="M7" i="5"/>
  <c r="O51" i="4"/>
  <c r="M16" i="5"/>
  <c r="O60" i="4"/>
  <c r="M34" i="5"/>
  <c r="O82" i="4"/>
  <c r="B23" i="5"/>
  <c r="D67" i="4"/>
  <c r="G46" i="5"/>
  <c r="I94" i="4"/>
  <c r="D47" i="5"/>
  <c r="F95" i="4"/>
  <c r="Q38" i="5"/>
  <c r="S86" i="4"/>
  <c r="F31" i="5"/>
  <c r="H79" i="4"/>
  <c r="H45" i="5"/>
  <c r="J93" i="4"/>
  <c r="B32" i="5"/>
  <c r="D80" i="4"/>
  <c r="L33" i="5"/>
  <c r="N81" i="4"/>
  <c r="Q29" i="5"/>
  <c r="S77" i="4"/>
  <c r="F49" i="5"/>
  <c r="H97" i="4"/>
  <c r="C25" i="5"/>
  <c r="E69" i="4"/>
  <c r="G30" i="5"/>
  <c r="I78" i="4"/>
  <c r="L39" i="5"/>
  <c r="N87" i="4"/>
  <c r="M41" i="5"/>
  <c r="O89" i="4"/>
  <c r="E45" i="5"/>
  <c r="G93" i="4"/>
  <c r="M39" i="5"/>
  <c r="O87" i="4"/>
  <c r="M22" i="5"/>
  <c r="O66" i="4"/>
  <c r="S32" i="5"/>
  <c r="U80" i="4"/>
  <c r="O29" i="5"/>
  <c r="Q77" i="4"/>
  <c r="C39" i="5"/>
  <c r="E87" i="4"/>
  <c r="B21" i="5"/>
  <c r="D65" i="4"/>
  <c r="T34" i="5"/>
  <c r="V82" i="4"/>
  <c r="V39" i="5"/>
  <c r="X87" i="4"/>
  <c r="G17" i="5"/>
  <c r="I61" i="4"/>
  <c r="V22" i="5"/>
  <c r="X66" i="4"/>
  <c r="D20" i="5"/>
  <c r="F64" i="4"/>
  <c r="C30" i="5"/>
  <c r="E78" i="4"/>
  <c r="B11" i="5"/>
  <c r="D55" i="4"/>
  <c r="D7" i="5"/>
  <c r="F51" i="4"/>
  <c r="U49" i="5"/>
  <c r="W97" i="4"/>
  <c r="B12" i="5"/>
  <c r="D56" i="4"/>
  <c r="L45" i="5"/>
  <c r="N93" i="4"/>
  <c r="K46" i="5"/>
  <c r="M94" i="4"/>
  <c r="B30" i="5"/>
  <c r="D78" i="4"/>
  <c r="J5" i="5"/>
  <c r="L49" i="4"/>
  <c r="H25" i="5"/>
  <c r="J69" i="4"/>
  <c r="R34" i="5"/>
  <c r="T82" i="4"/>
  <c r="D23" i="5"/>
  <c r="F67" i="4"/>
  <c r="Q46" i="5"/>
  <c r="S94" i="4"/>
  <c r="B47" i="5"/>
  <c r="D95" i="4"/>
  <c r="L44" i="5"/>
  <c r="N92" i="4"/>
  <c r="R31" i="5"/>
  <c r="T79" i="4"/>
  <c r="H43" i="5"/>
  <c r="J91" i="4"/>
  <c r="F42" i="5"/>
  <c r="H90" i="4"/>
  <c r="U46" i="5"/>
  <c r="W94" i="4"/>
  <c r="D32" i="5"/>
  <c r="F80" i="4"/>
  <c r="M20" i="5"/>
  <c r="O64" i="4"/>
  <c r="G36" i="5"/>
  <c r="I84" i="4"/>
  <c r="B46" i="5"/>
  <c r="D94" i="4"/>
  <c r="R39" i="5"/>
  <c r="T87" i="4"/>
  <c r="L14" i="5"/>
  <c r="N58" i="4"/>
  <c r="F46" i="5"/>
  <c r="H94" i="4"/>
  <c r="M11" i="5"/>
  <c r="O55" i="4"/>
  <c r="E39" i="5"/>
  <c r="G87" i="4"/>
  <c r="B29" i="5"/>
  <c r="D77" i="4"/>
  <c r="N7" i="5"/>
  <c r="P51" i="4"/>
  <c r="D40" i="5"/>
  <c r="F88" i="4"/>
  <c r="H17" i="5"/>
  <c r="J61" i="4"/>
  <c r="V31" i="5"/>
  <c r="X79" i="4"/>
  <c r="H29" i="5"/>
  <c r="J77" i="4"/>
  <c r="O39" i="5"/>
  <c r="Q87" i="4"/>
  <c r="E29" i="5"/>
  <c r="G77" i="4"/>
  <c r="I32" i="5"/>
  <c r="K80" i="4"/>
  <c r="D14" i="5"/>
  <c r="F58" i="4"/>
  <c r="S45" i="5"/>
  <c r="U93" i="4"/>
  <c r="C24" i="5"/>
  <c r="E68" i="4"/>
  <c r="L38" i="5"/>
  <c r="N86" i="4"/>
  <c r="F36" i="5"/>
  <c r="H84" i="4"/>
  <c r="Q36" i="5"/>
  <c r="S84" i="4"/>
  <c r="C46" i="5"/>
  <c r="E94" i="4"/>
  <c r="G39" i="5"/>
  <c r="I87" i="4"/>
  <c r="P15" i="5"/>
  <c r="R59" i="4"/>
  <c r="S19" i="5"/>
  <c r="U63" i="4"/>
  <c r="G20" i="5"/>
  <c r="I64" i="4"/>
  <c r="J20" i="5"/>
  <c r="L64" i="4"/>
  <c r="E38" i="5"/>
  <c r="G86" i="4"/>
  <c r="H30" i="5"/>
  <c r="J78" i="4"/>
  <c r="H12" i="5"/>
  <c r="J56" i="4"/>
  <c r="R45" i="5"/>
  <c r="T93" i="4"/>
  <c r="T47" i="5"/>
  <c r="V95" i="4"/>
  <c r="I29" i="5"/>
  <c r="K77" i="4"/>
  <c r="D21" i="5"/>
  <c r="F65" i="4"/>
  <c r="L17" i="5"/>
  <c r="N61" i="4"/>
  <c r="P32" i="5"/>
  <c r="R80" i="4"/>
  <c r="K15" i="5"/>
  <c r="M59" i="4"/>
  <c r="D11" i="5"/>
  <c r="F55" i="4"/>
  <c r="U30" i="5"/>
  <c r="W78" i="4"/>
  <c r="Q21" i="5"/>
  <c r="S65" i="4"/>
  <c r="L12" i="5"/>
  <c r="N56" i="4"/>
  <c r="G45" i="5"/>
  <c r="I93" i="4"/>
  <c r="K45" i="5"/>
  <c r="M93" i="4"/>
  <c r="F29" i="5"/>
  <c r="H77" i="4"/>
  <c r="D30" i="5"/>
  <c r="F78" i="4"/>
  <c r="H14" i="5"/>
  <c r="J58" i="4"/>
  <c r="F40" i="5"/>
  <c r="H88" i="4"/>
  <c r="C49" i="5"/>
  <c r="E97" i="4"/>
  <c r="Q47" i="5"/>
  <c r="S95" i="4"/>
  <c r="I45" i="5"/>
  <c r="K93" i="4"/>
  <c r="T17" i="5"/>
  <c r="V61" i="4"/>
  <c r="V44" i="5"/>
  <c r="X92" i="4"/>
  <c r="B9" i="5"/>
  <c r="D53" i="4"/>
  <c r="F45" i="5"/>
  <c r="H93" i="4"/>
  <c r="I39" i="5"/>
  <c r="K87" i="4"/>
  <c r="O38" i="5"/>
  <c r="Q86" i="4"/>
  <c r="S41" i="5"/>
  <c r="U89" i="4"/>
  <c r="M18" i="5"/>
  <c r="O62" i="4"/>
  <c r="P22" i="5"/>
  <c r="R66" i="4"/>
  <c r="V32" i="5"/>
  <c r="X80" i="4"/>
  <c r="B14" i="5"/>
  <c r="D58" i="4"/>
  <c r="S46" i="5"/>
  <c r="U94" i="4"/>
  <c r="M23" i="5"/>
  <c r="O67" i="4"/>
  <c r="M40" i="5"/>
  <c r="O88" i="4"/>
  <c r="G40" i="5"/>
  <c r="I88" i="4"/>
  <c r="R5" i="5"/>
  <c r="T49" i="4"/>
  <c r="R36" i="5"/>
  <c r="T84" i="4"/>
  <c r="S14" i="5"/>
  <c r="U58" i="4"/>
  <c r="C33" i="5"/>
  <c r="E81" i="4"/>
  <c r="T40" i="5"/>
  <c r="V88" i="4"/>
  <c r="R29" i="5"/>
  <c r="T77" i="4"/>
  <c r="F43" i="5"/>
  <c r="H91" i="4"/>
  <c r="U15" i="5"/>
  <c r="W59" i="4"/>
  <c r="K22" i="5"/>
  <c r="M66" i="4"/>
  <c r="Q41" i="5"/>
  <c r="S89" i="4"/>
  <c r="N41" i="5"/>
  <c r="P89" i="4"/>
  <c r="D44" i="5"/>
  <c r="F92" i="4"/>
  <c r="K30" i="5"/>
  <c r="M78" i="4"/>
  <c r="R33" i="5"/>
  <c r="T81" i="4"/>
  <c r="C21" i="5"/>
  <c r="E65" i="4"/>
  <c r="S47" i="5"/>
  <c r="U95" i="4"/>
  <c r="R40" i="5"/>
  <c r="T88" i="4"/>
  <c r="O35" i="5"/>
  <c r="Q83" i="4"/>
  <c r="T42" i="5"/>
  <c r="V90" i="4"/>
  <c r="S38" i="5"/>
  <c r="U86" i="4"/>
  <c r="U31" i="5"/>
  <c r="W79" i="4"/>
  <c r="T15" i="5"/>
  <c r="V59" i="4"/>
  <c r="N14" i="5"/>
  <c r="P58" i="4"/>
  <c r="R12" i="5"/>
  <c r="T56" i="4"/>
  <c r="Q7" i="5"/>
  <c r="S51" i="4"/>
  <c r="I14" i="5"/>
  <c r="K58" i="4"/>
  <c r="S22" i="5"/>
  <c r="U66" i="4"/>
  <c r="B45" i="5"/>
  <c r="D93" i="4"/>
  <c r="F47" i="5"/>
  <c r="H95" i="4"/>
  <c r="J15" i="5"/>
  <c r="L59" i="4"/>
  <c r="M14" i="5"/>
  <c r="O58" i="4"/>
  <c r="S12" i="5"/>
  <c r="U56" i="4"/>
  <c r="K14" i="5"/>
  <c r="M58" i="4"/>
  <c r="N42" i="5"/>
  <c r="P90" i="4"/>
  <c r="D9" i="5"/>
  <c r="F53" i="4"/>
  <c r="B13" i="4"/>
  <c r="B15" i="4" s="1"/>
  <c r="T29" i="5"/>
  <c r="V77" i="4"/>
  <c r="M44" i="5"/>
  <c r="O92" i="4"/>
  <c r="E36" i="5"/>
  <c r="G84" i="4"/>
  <c r="U35" i="5"/>
  <c r="W83" i="4"/>
  <c r="T10" i="5"/>
  <c r="V54" i="4"/>
  <c r="D46" i="5"/>
  <c r="F94" i="4"/>
  <c r="K37" i="5"/>
  <c r="M85" i="4"/>
  <c r="P36" i="5"/>
  <c r="R84" i="4"/>
  <c r="F10" i="5"/>
  <c r="H54" i="4"/>
  <c r="D38" i="5"/>
  <c r="F86" i="4"/>
  <c r="L35" i="5"/>
  <c r="N83" i="4"/>
  <c r="C6" i="5"/>
  <c r="E50" i="4"/>
  <c r="R41" i="5"/>
  <c r="T89" i="4"/>
  <c r="Q16" i="5"/>
  <c r="S60" i="4"/>
  <c r="F23" i="5"/>
  <c r="H67" i="4"/>
  <c r="T43" i="5"/>
  <c r="V91" i="4"/>
  <c r="C16" i="5"/>
  <c r="E60" i="4"/>
  <c r="O21" i="5"/>
  <c r="Q65" i="4"/>
  <c r="B44" i="5"/>
  <c r="D92" i="4"/>
  <c r="O15" i="5"/>
  <c r="Q59" i="4"/>
  <c r="J22" i="5"/>
  <c r="L66" i="4"/>
  <c r="H7" i="5"/>
  <c r="J51" i="4"/>
  <c r="K5" i="5"/>
  <c r="M49" i="4"/>
  <c r="V12" i="5"/>
  <c r="X56" i="4"/>
  <c r="L6" i="5"/>
  <c r="N50" i="4"/>
  <c r="N35" i="5"/>
  <c r="P83" i="4"/>
  <c r="G29" i="5"/>
  <c r="I77" i="4"/>
  <c r="N25" i="5"/>
  <c r="P69" i="4"/>
  <c r="D19" i="5"/>
  <c r="F63" i="4"/>
  <c r="G9" i="5"/>
  <c r="I53" i="4"/>
  <c r="P35" i="5"/>
  <c r="R83" i="4"/>
  <c r="T31" i="5"/>
  <c r="V79" i="4"/>
  <c r="V36" i="5"/>
  <c r="X84" i="4"/>
  <c r="O40" i="5"/>
  <c r="Q88" i="4"/>
  <c r="E30" i="5"/>
  <c r="G78" i="4"/>
  <c r="J14" i="5"/>
  <c r="L58" i="4"/>
  <c r="D45" i="5"/>
  <c r="F93" i="4"/>
  <c r="R13" i="5"/>
  <c r="T57" i="4"/>
  <c r="L31" i="5"/>
  <c r="N79" i="4"/>
  <c r="M36" i="5"/>
  <c r="O84" i="4"/>
  <c r="V33" i="5"/>
  <c r="X81" i="4"/>
  <c r="I43" i="5"/>
  <c r="K91" i="4"/>
  <c r="K34" i="5"/>
  <c r="M82" i="4"/>
  <c r="O47" i="5"/>
  <c r="Q95" i="4"/>
  <c r="H16" i="5"/>
  <c r="J60" i="4"/>
  <c r="H23" i="5"/>
  <c r="J67" i="4"/>
  <c r="C42" i="5"/>
  <c r="E90" i="4"/>
  <c r="M29" i="5"/>
  <c r="O77" i="4"/>
  <c r="V10" i="5"/>
  <c r="X54" i="4"/>
  <c r="I31" i="5"/>
  <c r="K79" i="4"/>
  <c r="L47" i="5"/>
  <c r="N95" i="4"/>
  <c r="M49" i="5"/>
  <c r="O97" i="4"/>
  <c r="E19" i="5"/>
  <c r="G63" i="4"/>
  <c r="D33" i="5"/>
  <c r="F81" i="4"/>
  <c r="C13" i="4"/>
  <c r="C14" i="4" s="1"/>
  <c r="L43" i="5"/>
  <c r="N91" i="4"/>
  <c r="O41" i="5"/>
  <c r="Q89" i="4"/>
  <c r="C29" i="5"/>
  <c r="E77" i="4"/>
  <c r="B17" i="5"/>
  <c r="D61" i="4"/>
  <c r="J45" i="5"/>
  <c r="L93" i="4"/>
  <c r="C40" i="5"/>
  <c r="E88" i="4"/>
  <c r="E37" i="5"/>
  <c r="G85" i="4"/>
  <c r="I22" i="5"/>
  <c r="K66" i="4"/>
  <c r="P23" i="5"/>
  <c r="R67" i="4"/>
  <c r="I12" i="5"/>
  <c r="K56" i="4"/>
  <c r="B39" i="5"/>
  <c r="D87" i="4"/>
  <c r="M30" i="5"/>
  <c r="O78" i="4"/>
  <c r="L7" i="5"/>
  <c r="N51" i="4"/>
  <c r="M47" i="5"/>
  <c r="O95" i="4"/>
  <c r="Q9" i="5"/>
  <c r="S53" i="4"/>
  <c r="E31" i="5"/>
  <c r="G79" i="4"/>
  <c r="U32" i="5"/>
  <c r="W80" i="4"/>
  <c r="E43" i="5"/>
  <c r="G91" i="4"/>
  <c r="T46" i="5"/>
  <c r="V94" i="4"/>
  <c r="F24" i="5"/>
  <c r="H68" i="4"/>
  <c r="G10" i="5"/>
  <c r="I54" i="4"/>
  <c r="F38" i="5"/>
  <c r="H86" i="4"/>
  <c r="U43" i="5"/>
  <c r="W91" i="4"/>
  <c r="B34" i="5"/>
  <c r="D82" i="4"/>
  <c r="G44" i="5"/>
  <c r="I92" i="4"/>
  <c r="D79" i="4"/>
  <c r="B31" i="5"/>
  <c r="T32" i="5"/>
  <c r="V80" i="4"/>
  <c r="P9" i="5"/>
  <c r="R53" i="4"/>
  <c r="F18" i="5"/>
  <c r="H62" i="4"/>
  <c r="R46" i="5"/>
  <c r="T94" i="4"/>
  <c r="H5" i="5"/>
  <c r="J49" i="4"/>
  <c r="I33" i="5"/>
  <c r="K81" i="4"/>
  <c r="O14" i="5"/>
  <c r="Q58" i="4"/>
  <c r="S20" i="5"/>
  <c r="U64" i="4"/>
  <c r="K47" i="5"/>
  <c r="M95" i="4"/>
  <c r="E11" i="5"/>
  <c r="G55" i="4"/>
  <c r="B19" i="5"/>
  <c r="D63" i="4"/>
  <c r="E49" i="5"/>
  <c r="G97" i="4"/>
  <c r="S40" i="5"/>
  <c r="U88" i="4"/>
  <c r="Q10" i="5"/>
  <c r="S54" i="4"/>
  <c r="L22" i="5"/>
  <c r="N66" i="4"/>
  <c r="T12" i="5"/>
  <c r="V56" i="4"/>
  <c r="H15" i="5"/>
  <c r="J59" i="4"/>
  <c r="J41" i="5"/>
  <c r="L89" i="4"/>
  <c r="O7" i="5"/>
  <c r="Q51" i="4"/>
  <c r="B5" i="5"/>
  <c r="D49" i="4"/>
  <c r="O10" i="5"/>
  <c r="Q54" i="4"/>
  <c r="E22" i="5"/>
  <c r="G66" i="4"/>
  <c r="J33" i="5"/>
  <c r="L81" i="4"/>
  <c r="B35" i="5"/>
  <c r="D83" i="4"/>
  <c r="S30" i="5"/>
  <c r="U78" i="4"/>
  <c r="E9" i="5"/>
  <c r="G53" i="4"/>
  <c r="J39" i="5"/>
  <c r="L87" i="4"/>
  <c r="U33" i="5"/>
  <c r="W81" i="4"/>
  <c r="U18" i="5"/>
  <c r="W62" i="4"/>
  <c r="K11" i="5"/>
  <c r="M55" i="4"/>
  <c r="G43" i="5"/>
  <c r="I91" i="4"/>
  <c r="O30" i="5"/>
  <c r="Q78" i="4"/>
  <c r="H39" i="5"/>
  <c r="J87" i="4"/>
  <c r="Q15" i="5"/>
  <c r="S59" i="4"/>
  <c r="N11" i="5"/>
  <c r="P55" i="4"/>
  <c r="D43" i="5"/>
  <c r="F91" i="4"/>
  <c r="O31" i="5"/>
  <c r="Q79" i="4"/>
  <c r="E32" i="5"/>
  <c r="G80" i="4"/>
  <c r="D34" i="5"/>
  <c r="F82" i="4"/>
  <c r="D31" i="5"/>
  <c r="F79" i="4"/>
  <c r="U38" i="5"/>
  <c r="W86" i="4"/>
  <c r="L30" i="5"/>
  <c r="N78" i="4"/>
  <c r="P16" i="5"/>
  <c r="R60" i="4"/>
  <c r="R14" i="5"/>
  <c r="T58" i="4"/>
  <c r="E20" i="5"/>
  <c r="G64" i="4"/>
  <c r="K41" i="5"/>
  <c r="M89" i="4"/>
  <c r="P46" i="5"/>
  <c r="R94" i="4"/>
  <c r="I5" i="5"/>
  <c r="K49" i="4"/>
  <c r="Q40" i="5"/>
  <c r="S88" i="4"/>
  <c r="N17" i="5"/>
  <c r="P61" i="4"/>
  <c r="K6" i="5"/>
  <c r="M50" i="4"/>
  <c r="B10" i="5"/>
  <c r="D54" i="4"/>
  <c r="T6" i="5"/>
  <c r="V50" i="4"/>
  <c r="C10" i="5"/>
  <c r="E54" i="4"/>
  <c r="N32" i="5"/>
  <c r="P80" i="4"/>
  <c r="R20" i="5"/>
  <c r="T64" i="4"/>
  <c r="D6" i="5"/>
  <c r="F50" i="4"/>
  <c r="S31" i="5"/>
  <c r="U79" i="4"/>
  <c r="N34" i="5"/>
  <c r="P82" i="4"/>
  <c r="B41" i="5"/>
  <c r="D89" i="4"/>
  <c r="T30" i="5"/>
  <c r="V78" i="4"/>
  <c r="D5" i="5"/>
  <c r="F49" i="4"/>
  <c r="U10" i="5"/>
  <c r="W54" i="4"/>
  <c r="J32" i="5"/>
  <c r="L80" i="4"/>
  <c r="D35" i="5"/>
  <c r="F83" i="4"/>
  <c r="D22" i="5"/>
  <c r="F66" i="4"/>
  <c r="I15" i="5"/>
  <c r="K59" i="4"/>
  <c r="C19" i="5"/>
  <c r="E63" i="4"/>
  <c r="Q34" i="5"/>
  <c r="S82" i="4"/>
  <c r="C47" i="5"/>
  <c r="E95" i="4"/>
  <c r="P30" i="5"/>
  <c r="R78" i="4"/>
  <c r="V18" i="5"/>
  <c r="X62" i="4"/>
  <c r="O43" i="5"/>
  <c r="Q91" i="4"/>
  <c r="S29" i="5"/>
  <c r="U77" i="4"/>
  <c r="N45" i="5"/>
  <c r="P93" i="4"/>
  <c r="E17" i="5"/>
  <c r="G61" i="4"/>
  <c r="O45" i="5"/>
  <c r="Q93" i="4"/>
  <c r="M5" i="5"/>
  <c r="O49" i="4"/>
  <c r="O80" i="4"/>
  <c r="M32" i="5"/>
  <c r="L23" i="5"/>
  <c r="N67" i="4"/>
  <c r="U45" i="5"/>
  <c r="W93" i="4"/>
  <c r="O5" i="5"/>
  <c r="Q49" i="4"/>
  <c r="J37" i="5"/>
  <c r="L85" i="4"/>
  <c r="K38" i="5"/>
  <c r="M86" i="4"/>
  <c r="T7" i="5"/>
  <c r="V51" i="4"/>
  <c r="Q5" i="5"/>
  <c r="S49" i="4"/>
  <c r="C37" i="5"/>
  <c r="E85" i="4"/>
  <c r="I44" i="5"/>
  <c r="K92" i="4"/>
  <c r="O9" i="5"/>
  <c r="Q53" i="4"/>
  <c r="I49" i="5"/>
  <c r="K97" i="4"/>
  <c r="R10" i="5"/>
  <c r="T54" i="4"/>
  <c r="T44" i="5"/>
  <c r="V92" i="4"/>
  <c r="N15" i="5"/>
  <c r="P59" i="4"/>
  <c r="Q45" i="5"/>
  <c r="S93" i="4"/>
  <c r="O36" i="5"/>
  <c r="Q84" i="4"/>
  <c r="P41" i="5"/>
  <c r="R89" i="4"/>
  <c r="P45" i="5"/>
  <c r="R93" i="4"/>
  <c r="T8" i="5"/>
  <c r="V52" i="4"/>
  <c r="U12" i="5"/>
  <c r="W56" i="4"/>
  <c r="D10" i="5"/>
  <c r="F54" i="4"/>
  <c r="T37" i="5"/>
  <c r="V85" i="4"/>
  <c r="C38" i="5"/>
  <c r="E86" i="4"/>
  <c r="V20" i="5"/>
  <c r="X64" i="4"/>
  <c r="B6" i="5"/>
  <c r="D50" i="4"/>
  <c r="L10" i="5"/>
  <c r="N54" i="4"/>
  <c r="D41" i="5"/>
  <c r="F89" i="4"/>
  <c r="F15" i="5"/>
  <c r="H59" i="4"/>
  <c r="F14" i="5"/>
  <c r="H58" i="4"/>
  <c r="G32" i="5"/>
  <c r="I80" i="4"/>
  <c r="H6" i="5"/>
  <c r="J50" i="4"/>
  <c r="B22" i="5"/>
  <c r="D66" i="4"/>
  <c r="J31" i="5"/>
  <c r="L79" i="4"/>
  <c r="C15" i="5"/>
  <c r="E59" i="4"/>
  <c r="R17" i="5"/>
  <c r="T61" i="4"/>
  <c r="C9" i="5"/>
  <c r="E53" i="4"/>
  <c r="N47" i="5"/>
  <c r="P95" i="4"/>
  <c r="D42" i="5"/>
  <c r="F90" i="4"/>
  <c r="Q13" i="5"/>
  <c r="S57" i="4"/>
  <c r="O23" i="5"/>
  <c r="Q67" i="4"/>
  <c r="E34" i="5"/>
  <c r="G82" i="4"/>
  <c r="Q6" i="5"/>
  <c r="S50" i="4"/>
  <c r="H44" i="5"/>
  <c r="J92" i="4"/>
  <c r="E35" i="5"/>
  <c r="G83" i="4"/>
  <c r="C31" i="5"/>
  <c r="E79" i="4"/>
  <c r="S7" i="5"/>
  <c r="U51" i="4"/>
  <c r="F22" i="5"/>
  <c r="H66" i="4"/>
  <c r="R43" i="5"/>
  <c r="T91" i="4"/>
  <c r="R44" i="5"/>
  <c r="T92" i="4"/>
  <c r="C7" i="5"/>
  <c r="E51" i="4"/>
  <c r="Q14" i="5"/>
  <c r="S58" i="4"/>
  <c r="K12" i="5"/>
  <c r="M56" i="4"/>
  <c r="V23" i="5"/>
  <c r="X67" i="4"/>
  <c r="Q44" i="5"/>
  <c r="S92" i="4"/>
  <c r="L41" i="5"/>
  <c r="N89" i="4"/>
  <c r="S37" i="5"/>
  <c r="U85" i="4"/>
  <c r="P33" i="5"/>
  <c r="R81" i="4"/>
  <c r="M31" i="5"/>
  <c r="O79" i="4"/>
  <c r="P14" i="5"/>
  <c r="R58" i="4"/>
  <c r="R38" i="5"/>
  <c r="T86" i="4"/>
  <c r="Q20" i="5"/>
  <c r="S64" i="4"/>
  <c r="R6" i="5"/>
  <c r="T50" i="4"/>
  <c r="I25" i="5"/>
  <c r="K69" i="4"/>
  <c r="E15" i="5"/>
  <c r="G59" i="4"/>
  <c r="C5" i="5"/>
  <c r="E49" i="4"/>
  <c r="K42" i="5"/>
  <c r="M90" i="4"/>
  <c r="B14" i="4" l="1"/>
  <c r="B6" i="4"/>
  <c r="B5" i="4"/>
  <c r="B7" i="4"/>
  <c r="C15" i="4"/>
  <c r="C6" i="4"/>
  <c r="C5" i="4"/>
  <c r="C22" i="4"/>
  <c r="E22" i="4" s="1"/>
  <c r="D22" i="4"/>
  <c r="F22" i="4" s="1"/>
  <c r="C7" i="4"/>
</calcChain>
</file>

<file path=xl/sharedStrings.xml><?xml version="1.0" encoding="utf-8"?>
<sst xmlns="http://schemas.openxmlformats.org/spreadsheetml/2006/main" count="166" uniqueCount="95">
  <si>
    <t>F01 · Conservation of mass</t>
  </si>
  <si>
    <t>Every physical quantity below is a named cell. The formulas on the other tabs use the names.</t>
  </si>
  <si>
    <t>Name</t>
  </si>
  <si>
    <t>Value</t>
  </si>
  <si>
    <t>Unit</t>
  </si>
  <si>
    <t>Meaning</t>
  </si>
  <si>
    <t>L</t>
  </si>
  <si>
    <t>m</t>
  </si>
  <si>
    <t>side of the square domain</t>
  </si>
  <si>
    <t>N</t>
  </si>
  <si>
    <t>-</t>
  </si>
  <si>
    <t>cells per direction on the main grid (5 to 21)</t>
  </si>
  <si>
    <t>U0</t>
  </si>
  <si>
    <t>m/s</t>
  </si>
  <si>
    <t>velocity scale</t>
  </si>
  <si>
    <t>rho</t>
  </si>
  <si>
    <t>kg/m3</t>
  </si>
  <si>
    <t>density, constant</t>
  </si>
  <si>
    <t>dx</t>
  </si>
  <si>
    <t>cell size, computed from L and N</t>
  </si>
  <si>
    <t>Control volume, given as node indices on the main grid</t>
  </si>
  <si>
    <t>The divergence is not defined on the boundary nodes, so the box must satisfy 2 &lt;= ia &lt; ib &lt;= N-1 and 2 &lt;= ja &lt; jb &lt;= N-1.</t>
  </si>
  <si>
    <t>ia</t>
  </si>
  <si>
    <t>west face, node index</t>
  </si>
  <si>
    <t>ib</t>
  </si>
  <si>
    <t>east face, node index</t>
  </si>
  <si>
    <t>ja</t>
  </si>
  <si>
    <t>south face, node index</t>
  </si>
  <si>
    <t>jb</t>
  </si>
  <si>
    <t>north face, node index</t>
  </si>
  <si>
    <t>check</t>
  </si>
  <si>
    <t>the box must lie inside the interior nodes</t>
  </si>
  <si>
    <t>Two coarser grids, used for the grid study on the Error tab</t>
  </si>
  <si>
    <t>N_3</t>
  </si>
  <si>
    <t>coarsest grid, cells per direction</t>
  </si>
  <si>
    <t>N_2</t>
  </si>
  <si>
    <t>middle grid, cells per direction</t>
  </si>
  <si>
    <t>dx_3</t>
  </si>
  <si>
    <t>cell size of the N_3 grid</t>
  </si>
  <si>
    <t>dx_2</t>
  </si>
  <si>
    <t>cell size of the N_2 grid</t>
  </si>
  <si>
    <t>Colour code</t>
  </si>
  <si>
    <t>input cell: type a value here</t>
  </si>
  <si>
    <t>boundary node: the central difference needs a neighbour on both sides, so no value is computed</t>
  </si>
  <si>
    <t>no fill: computed by a formula</t>
  </si>
  <si>
    <t>F01 · Solver</t>
  </si>
  <si>
    <t>Field A is the Taylor-Green field, equation (12). Field B is the test field, equation (14).</t>
  </si>
  <si>
    <t>u of field A  [m/s]</t>
  </si>
  <si>
    <t>i</t>
  </si>
  <si>
    <t>x [m]</t>
  </si>
  <si>
    <t>j</t>
  </si>
  <si>
    <t>y [m]</t>
  </si>
  <si>
    <t>v of field A  [m/s]</t>
  </si>
  <si>
    <t>Discrete divergence of field A, equation (11)  [1/s]</t>
  </si>
  <si>
    <t>u of field B  [m/s]</t>
  </si>
  <si>
    <t>v of field B  [m/s]  (zero everywhere)</t>
  </si>
  <si>
    <t>Discrete divergence of field B, equation (11)  [1/s]</t>
  </si>
  <si>
    <t>F01 · Analytical</t>
  </si>
  <si>
    <t>The exact divergence of each field, equations (13) and (15).</t>
  </si>
  <si>
    <t>Exact divergence of field A, equation (13)  [1/s]</t>
  </si>
  <si>
    <t>Exact divergence of field B, equation (15)  [1/s]</t>
  </si>
  <si>
    <t>F01 · Error</t>
  </si>
  <si>
    <t>Error on the main grid</t>
  </si>
  <si>
    <t>Quantity</t>
  </si>
  <si>
    <t>Field A</t>
  </si>
  <si>
    <t>Field B</t>
  </si>
  <si>
    <t>maximum error</t>
  </si>
  <si>
    <t>1/s</t>
  </si>
  <si>
    <t>RMS error</t>
  </si>
  <si>
    <t>interior nodes counted</t>
  </si>
  <si>
    <t>Mass balance over the control volume</t>
  </si>
  <si>
    <t>Trapezoid rule on both sides, over the box given by ia, ib, ja, jb on the Inputs tab.</t>
  </si>
  <si>
    <t>surface integral</t>
  </si>
  <si>
    <t>kg/(m s)</t>
  </si>
  <si>
    <t>volume integral</t>
  </si>
  <si>
    <t>difference</t>
  </si>
  <si>
    <t>relative difference</t>
  </si>
  <si>
    <t>Grid study, field B</t>
  </si>
  <si>
    <t>Change N_3, N_2 and N on the Inputs tab to move the three grids.</t>
  </si>
  <si>
    <t>dx [m]</t>
  </si>
  <si>
    <t>maximum error [1/s]</t>
  </si>
  <si>
    <t>RMS error [1/s]</t>
  </si>
  <si>
    <t>p from maximum</t>
  </si>
  <si>
    <t>p from RMS</t>
  </si>
  <si>
    <t>The central difference of equation (10) is second order, so p approaches 2 as the grid is refined.</t>
  </si>
  <si>
    <t>Absolute error of field A, main grid  [1/s]</t>
  </si>
  <si>
    <t>Absolute error of field B, main grid  [1/s]</t>
  </si>
  <si>
    <t>Discrete divergence of field B on the N_2 grid  [1/s]</t>
  </si>
  <si>
    <t>Absolute error of field B on the N_2 grid  [1/s]</t>
  </si>
  <si>
    <t>Discrete divergence of field B on the N_3 grid  [1/s]</t>
  </si>
  <si>
    <t>Absolute error of field B on the N_3 grid  [1/s]</t>
  </si>
  <si>
    <t>F01 · Plots</t>
  </si>
  <si>
    <t>The two blocks below show the discrete divergence as a contour. Blue is negative, red is positive, white is zero.</t>
  </si>
  <si>
    <t>Field A: discrete divergence  [1/s]</t>
  </si>
  <si>
    <t>Field B: discrete divergence  [1/s]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</si>
</sst>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"/>
    <numFmt numFmtId="165" formatCode="0.000E+00"/>
    <numFmt numFmtId="166" formatCode="0.000"/>
    <numFmt numFmtId="167" formatCode="0.0"/>
  </numFmts>
  <fonts count="4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name val="Calibri"/>
    </font>
    <font>
      <b/>
      <sz val="12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DEBF7"/>
      </patternFill>
    </fill>
    <fill>
      <patternFill patternType="solid">
        <fgColor rgb="FF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0" fillId="2" borderId="0" xfId="0" applyFill="1"/>
    <xf numFmtId="164" fontId="0" fillId="0" borderId="0" xfId="0" applyNumberFormat="1"/>
    <xf numFmtId="0" fontId="3" fillId="0" borderId="0" xfId="0" applyFont="1"/>
    <xf numFmtId="0" fontId="0" fillId="3" borderId="0" xfId="0" applyFill="1"/>
    <xf numFmtId="164" fontId="0" fillId="3" borderId="0" xfId="0" applyNumberFormat="1" applyFill="1"/>
    <xf numFmtId="165" fontId="0" fillId="0" borderId="0" xfId="0" applyNumberFormat="1"/>
    <xf numFmtId="166" fontId="0" fillId="0" borderId="0" xfId="0" applyNumberFormat="1"/>
    <xf numFmtId="167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Grid study, field B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maximum error</c:v>
          </c:tx>
          <c:spPr>
            <a:ln>
              <a:noFill/>
              <a:prstDash val="solid"/>
            </a:ln>
          </c:spPr>
          <c:marker>
            <c:symbol val="circle"/>
            <c:size val="5"/>
            <c:spPr>
              <a:ln>
                <a:prstDash val="solid"/>
              </a:ln>
            </c:spPr>
          </c:marker>
          <c:xVal>
            <c:numRef>
              <c:f>Error!$B$20:$B$22</c:f>
              <c:numCache>
                <c:formatCode>0.0000</c:formatCode>
                <c:ptCount val="3"/>
                <c:pt idx="0">
                  <c:v>0.16666666666666666</c:v>
                </c:pt>
                <c:pt idx="1">
                  <c:v>9.0909090909090912E-2</c:v>
                </c:pt>
                <c:pt idx="2">
                  <c:v>4.7619047619047616E-2</c:v>
                </c:pt>
              </c:numCache>
            </c:numRef>
          </c:xVal>
          <c:yVal>
            <c:numRef>
              <c:f>Error!$C$20:$C$22</c:f>
              <c:numCache>
                <c:formatCode>0.000E+00</c:formatCode>
                <c:ptCount val="3"/>
                <c:pt idx="0">
                  <c:v>9.6709580896453762E-2</c:v>
                </c:pt>
                <c:pt idx="1">
                  <c:v>3.8690767879980381E-2</c:v>
                </c:pt>
                <c:pt idx="2">
                  <c:v>1.1411593500360695E-2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C8B-4486-BF81-1B6E43EA8005}"/>
            </c:ext>
          </c:extLst>
        </c:ser>
        <c:ser>
          <c:idx val="1"/>
          <c:order val="1"/>
          <c:tx>
            <c:v>RMS error</c:v>
          </c:tx>
          <c:spPr>
            <a:ln>
              <a:noFill/>
              <a:prstDash val="solid"/>
            </a:ln>
          </c:spPr>
          <c:marker>
            <c:symbol val="square"/>
            <c:size val="5"/>
            <c:spPr>
              <a:ln>
                <a:prstDash val="solid"/>
              </a:ln>
            </c:spPr>
          </c:marker>
          <c:xVal>
            <c:numRef>
              <c:f>Error!$B$20:$B$22</c:f>
              <c:numCache>
                <c:formatCode>0.0000</c:formatCode>
                <c:ptCount val="3"/>
                <c:pt idx="0">
                  <c:v>0.16666666666666666</c:v>
                </c:pt>
                <c:pt idx="1">
                  <c:v>9.0909090909090912E-2</c:v>
                </c:pt>
                <c:pt idx="2">
                  <c:v>4.7619047619047616E-2</c:v>
                </c:pt>
              </c:numCache>
            </c:numRef>
          </c:xVal>
          <c:yVal>
            <c:numRef>
              <c:f>Error!$D$20:$D$22</c:f>
              <c:numCache>
                <c:formatCode>0.000E+00</c:formatCode>
                <c:ptCount val="3"/>
                <c:pt idx="0">
                  <c:v>6.3814946593376082E-2</c:v>
                </c:pt>
                <c:pt idx="1">
                  <c:v>2.0778203616414557E-2</c:v>
                </c:pt>
                <c:pt idx="2">
                  <c:v>5.8207418595205345E-3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C8B-4486-BF81-1B6E43EA80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logBase val="10"/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dx [m]</a:t>
                </a:r>
              </a:p>
            </c:rich>
          </c:tx>
          <c:overlay val="1"/>
        </c:title>
        <c:numFmt formatCode="0.0000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logBase val="10"/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error [1/s]</a:t>
                </a:r>
              </a:p>
            </c:rich>
          </c:tx>
          <c:overlay val="1"/>
        </c:title>
        <c:numFmt formatCode="0.000E+00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53</xdr:row>
      <xdr:rowOff>0</xdr:rowOff>
    </xdr:from>
    <xdr:ext cx="5400000" cy="324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8"/>
  <sheetViews>
    <sheetView tabSelected="1" workbookViewId="0"/>
  </sheetViews>
  <sheetFormatPr defaultRowHeight="15" x14ac:dyDescent="0.25"/>
  <cols>
    <col min="1" max="1" width="10" customWidth="1"/>
    <col min="2" max="2" width="14" customWidth="1"/>
    <col min="3" max="3" width="10" customWidth="1"/>
    <col min="4" max="4" width="70" customWidth="1"/>
  </cols>
  <sheetData>
    <row r="1" spans="1:4" ht="18.75" x14ac:dyDescent="0.3">
      <c r="A1" s="1" t="s">
        <v>0</v>
      </c>
    </row>
    <row r="2" spans="1:4" x14ac:dyDescent="0.25">
      <c r="A2" t="s">
        <v>1</v>
      </c>
    </row>
    <row r="4" spans="1:4" x14ac:dyDescent="0.25">
      <c r="A4" s="2" t="s">
        <v>2</v>
      </c>
      <c r="B4" s="2" t="s">
        <v>3</v>
      </c>
      <c r="C4" s="2" t="s">
        <v>4</v>
      </c>
      <c r="D4" s="2" t="s">
        <v>5</v>
      </c>
    </row>
    <row r="5" spans="1:4" x14ac:dyDescent="0.25">
      <c r="A5" s="2" t="s">
        <v>6</v>
      </c>
      <c r="B5" s="3">
        <v>1</v>
      </c>
      <c r="C5" t="s">
        <v>7</v>
      </c>
      <c r="D5" t="s">
        <v>8</v>
      </c>
    </row>
    <row r="6" spans="1:4" x14ac:dyDescent="0.25">
      <c r="A6" s="2" t="s">
        <v>9</v>
      </c>
      <c r="B6" s="3">
        <v>21</v>
      </c>
      <c r="C6" t="s">
        <v>10</v>
      </c>
      <c r="D6" t="s">
        <v>11</v>
      </c>
    </row>
    <row r="7" spans="1:4" x14ac:dyDescent="0.25">
      <c r="A7" s="2" t="s">
        <v>12</v>
      </c>
      <c r="B7" s="3">
        <v>1</v>
      </c>
      <c r="C7" t="s">
        <v>13</v>
      </c>
      <c r="D7" t="s">
        <v>14</v>
      </c>
    </row>
    <row r="8" spans="1:4" x14ac:dyDescent="0.25">
      <c r="A8" s="2" t="s">
        <v>15</v>
      </c>
      <c r="B8" s="3">
        <v>1</v>
      </c>
      <c r="C8" t="s">
        <v>16</v>
      </c>
      <c r="D8" t="s">
        <v>17</v>
      </c>
    </row>
    <row r="9" spans="1:4" x14ac:dyDescent="0.25">
      <c r="A9" s="2" t="s">
        <v>18</v>
      </c>
      <c r="B9" s="4">
        <f>L/N</f>
        <v>4.7619047619047616E-2</v>
      </c>
      <c r="C9" t="s">
        <v>7</v>
      </c>
      <c r="D9" t="s">
        <v>19</v>
      </c>
    </row>
    <row r="11" spans="1:4" ht="15.75" x14ac:dyDescent="0.25">
      <c r="A11" s="5" t="s">
        <v>20</v>
      </c>
    </row>
    <row r="12" spans="1:4" x14ac:dyDescent="0.25">
      <c r="A12" t="s">
        <v>21</v>
      </c>
    </row>
    <row r="13" spans="1:4" x14ac:dyDescent="0.25">
      <c r="A13" s="2" t="s">
        <v>22</v>
      </c>
      <c r="B13" s="3">
        <v>3</v>
      </c>
      <c r="C13" t="s">
        <v>10</v>
      </c>
      <c r="D13" t="s">
        <v>23</v>
      </c>
    </row>
    <row r="14" spans="1:4" x14ac:dyDescent="0.25">
      <c r="A14" s="2" t="s">
        <v>24</v>
      </c>
      <c r="B14" s="3">
        <v>13</v>
      </c>
      <c r="C14" t="s">
        <v>10</v>
      </c>
      <c r="D14" t="s">
        <v>25</v>
      </c>
    </row>
    <row r="15" spans="1:4" x14ac:dyDescent="0.25">
      <c r="A15" s="2" t="s">
        <v>26</v>
      </c>
      <c r="B15" s="3">
        <v>5</v>
      </c>
      <c r="C15" t="s">
        <v>10</v>
      </c>
      <c r="D15" t="s">
        <v>27</v>
      </c>
    </row>
    <row r="16" spans="1:4" x14ac:dyDescent="0.25">
      <c r="A16" s="2" t="s">
        <v>28</v>
      </c>
      <c r="B16" s="3">
        <v>17</v>
      </c>
      <c r="C16" t="s">
        <v>10</v>
      </c>
      <c r="D16" t="s">
        <v>29</v>
      </c>
    </row>
    <row r="17" spans="1:4" x14ac:dyDescent="0.25">
      <c r="A17" s="2" t="s">
        <v>30</v>
      </c>
      <c r="B17" t="str">
        <f>IF(OR(ia&lt;2,ib&gt;N-1,ja&lt;2,jb&gt;N-1,ia&gt;=ib,ja&gt;=jb),"box is outside the interior","ok")</f>
        <v>ok</v>
      </c>
      <c r="D17" t="s">
        <v>31</v>
      </c>
    </row>
    <row r="19" spans="1:4" ht="15.75" x14ac:dyDescent="0.25">
      <c r="A19" s="5" t="s">
        <v>32</v>
      </c>
    </row>
    <row r="20" spans="1:4" x14ac:dyDescent="0.25">
      <c r="A20" s="2" t="s">
        <v>33</v>
      </c>
      <c r="B20" s="3">
        <v>6</v>
      </c>
      <c r="C20" t="s">
        <v>10</v>
      </c>
      <c r="D20" t="s">
        <v>34</v>
      </c>
    </row>
    <row r="21" spans="1:4" x14ac:dyDescent="0.25">
      <c r="A21" s="2" t="s">
        <v>35</v>
      </c>
      <c r="B21" s="3">
        <v>11</v>
      </c>
      <c r="C21" t="s">
        <v>10</v>
      </c>
      <c r="D21" t="s">
        <v>36</v>
      </c>
    </row>
    <row r="22" spans="1:4" x14ac:dyDescent="0.25">
      <c r="A22" s="2" t="s">
        <v>37</v>
      </c>
      <c r="B22" s="4">
        <f>L/N_3</f>
        <v>0.16666666666666666</v>
      </c>
      <c r="C22" t="s">
        <v>7</v>
      </c>
      <c r="D22" t="s">
        <v>38</v>
      </c>
    </row>
    <row r="23" spans="1:4" x14ac:dyDescent="0.25">
      <c r="A23" s="2" t="s">
        <v>39</v>
      </c>
      <c r="B23" s="4">
        <f>L/N_2</f>
        <v>9.0909090909090912E-2</v>
      </c>
      <c r="C23" t="s">
        <v>7</v>
      </c>
      <c r="D23" t="s">
        <v>40</v>
      </c>
    </row>
    <row r="25" spans="1:4" ht="15.75" x14ac:dyDescent="0.25">
      <c r="A25" s="5" t="s">
        <v>41</v>
      </c>
    </row>
    <row r="26" spans="1:4" x14ac:dyDescent="0.25">
      <c r="B26" s="3"/>
      <c r="C26" t="s">
        <v>42</v>
      </c>
    </row>
    <row r="27" spans="1:4" x14ac:dyDescent="0.25">
      <c r="B27" s="6"/>
      <c r="C27" t="s">
        <v>43</v>
      </c>
    </row>
    <row r="28" spans="1:4" x14ac:dyDescent="0.25">
      <c r="C28" t="s">
        <v>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168"/>
  <sheetViews>
    <sheetView workbookViewId="0"/>
  </sheetViews>
  <sheetFormatPr defaultRowHeight="15" x14ac:dyDescent="0.25"/>
  <sheetData>
    <row r="1" spans="1:24" ht="18.75" x14ac:dyDescent="0.3">
      <c r="A1" s="1" t="s">
        <v>45</v>
      </c>
    </row>
    <row r="2" spans="1:24" x14ac:dyDescent="0.25">
      <c r="A2" t="s">
        <v>46</v>
      </c>
    </row>
    <row r="4" spans="1:24" ht="15.75" x14ac:dyDescent="0.25">
      <c r="A4" s="5" t="s">
        <v>47</v>
      </c>
    </row>
    <row r="5" spans="1:24" x14ac:dyDescent="0.25">
      <c r="A5" s="2" t="s">
        <v>48</v>
      </c>
      <c r="D5" s="2">
        <v>1</v>
      </c>
      <c r="E5" s="2">
        <v>2</v>
      </c>
      <c r="F5" s="2">
        <v>3</v>
      </c>
      <c r="G5" s="2">
        <v>4</v>
      </c>
      <c r="H5" s="2">
        <v>5</v>
      </c>
      <c r="I5" s="2">
        <v>6</v>
      </c>
      <c r="J5" s="2">
        <v>7</v>
      </c>
      <c r="K5" s="2">
        <v>8</v>
      </c>
      <c r="L5" s="2">
        <v>9</v>
      </c>
      <c r="M5" s="2">
        <v>10</v>
      </c>
      <c r="N5" s="2">
        <v>11</v>
      </c>
      <c r="O5" s="2">
        <v>12</v>
      </c>
      <c r="P5" s="2">
        <v>13</v>
      </c>
      <c r="Q5" s="2">
        <v>14</v>
      </c>
      <c r="R5" s="2">
        <v>15</v>
      </c>
      <c r="S5" s="2">
        <v>16</v>
      </c>
      <c r="T5" s="2">
        <v>17</v>
      </c>
      <c r="U5" s="2">
        <v>18</v>
      </c>
      <c r="V5" s="2">
        <v>19</v>
      </c>
      <c r="W5" s="2">
        <v>20</v>
      </c>
      <c r="X5" s="2">
        <v>21</v>
      </c>
    </row>
    <row r="6" spans="1:24" x14ac:dyDescent="0.25">
      <c r="A6" s="2" t="s">
        <v>49</v>
      </c>
      <c r="D6" s="4">
        <f>IF(1&lt;=N,(1-0.5)*dx,"")</f>
        <v>2.3809523809523808E-2</v>
      </c>
      <c r="E6" s="4">
        <f>IF(2&lt;=N,(2-0.5)*dx,"")</f>
        <v>7.1428571428571425E-2</v>
      </c>
      <c r="F6" s="4">
        <f>IF(3&lt;=N,(3-0.5)*dx,"")</f>
        <v>0.11904761904761904</v>
      </c>
      <c r="G6" s="4">
        <f>IF(4&lt;=N,(4-0.5)*dx,"")</f>
        <v>0.16666666666666666</v>
      </c>
      <c r="H6" s="4">
        <f>IF(5&lt;=N,(5-0.5)*dx,"")</f>
        <v>0.21428571428571427</v>
      </c>
      <c r="I6" s="4">
        <f>IF(6&lt;=N,(6-0.5)*dx,"")</f>
        <v>0.26190476190476186</v>
      </c>
      <c r="J6" s="4">
        <f>IF(7&lt;=N,(7-0.5)*dx,"")</f>
        <v>0.30952380952380953</v>
      </c>
      <c r="K6" s="4">
        <f>IF(8&lt;=N,(8-0.5)*dx,"")</f>
        <v>0.3571428571428571</v>
      </c>
      <c r="L6" s="4">
        <f>IF(9&lt;=N,(9-0.5)*dx,"")</f>
        <v>0.40476190476190477</v>
      </c>
      <c r="M6" s="4">
        <f>IF(10&lt;=N,(10-0.5)*dx,"")</f>
        <v>0.45238095238095233</v>
      </c>
      <c r="N6" s="4">
        <f>IF(11&lt;=N,(11-0.5)*dx,"")</f>
        <v>0.5</v>
      </c>
      <c r="O6" s="4">
        <f>IF(12&lt;=N,(12-0.5)*dx,"")</f>
        <v>0.54761904761904756</v>
      </c>
      <c r="P6" s="4">
        <f>IF(13&lt;=N,(13-0.5)*dx,"")</f>
        <v>0.59523809523809523</v>
      </c>
      <c r="Q6" s="4">
        <f>IF(14&lt;=N,(14-0.5)*dx,"")</f>
        <v>0.64285714285714279</v>
      </c>
      <c r="R6" s="4">
        <f>IF(15&lt;=N,(15-0.5)*dx,"")</f>
        <v>0.69047619047619047</v>
      </c>
      <c r="S6" s="4">
        <f>IF(16&lt;=N,(16-0.5)*dx,"")</f>
        <v>0.73809523809523803</v>
      </c>
      <c r="T6" s="4">
        <f>IF(17&lt;=N,(17-0.5)*dx,"")</f>
        <v>0.7857142857142857</v>
      </c>
      <c r="U6" s="4">
        <f>IF(18&lt;=N,(18-0.5)*dx,"")</f>
        <v>0.83333333333333326</v>
      </c>
      <c r="V6" s="4">
        <f>IF(19&lt;=N,(19-0.5)*dx,"")</f>
        <v>0.88095238095238093</v>
      </c>
      <c r="W6" s="4">
        <f>IF(20&lt;=N,(20-0.5)*dx,"")</f>
        <v>0.92857142857142849</v>
      </c>
      <c r="X6" s="4">
        <f>IF(21&lt;=N,(21-0.5)*dx,"")</f>
        <v>0.97619047619047616</v>
      </c>
    </row>
    <row r="7" spans="1:24" x14ac:dyDescent="0.25">
      <c r="A7" s="2" t="s">
        <v>50</v>
      </c>
      <c r="B7" s="2" t="s">
        <v>51</v>
      </c>
    </row>
    <row r="8" spans="1:24" x14ac:dyDescent="0.25">
      <c r="A8" s="2">
        <v>1</v>
      </c>
      <c r="B8" s="4">
        <f>IF(1&lt;=N,(1-0.5)*dx,"")</f>
        <v>2.3809523809523808E-2</v>
      </c>
      <c r="D8" s="7">
        <f t="shared" ref="D8:M17" si="0">IF(COUNT($B8,D$6)&lt;2,"",U0*SIN(PI()*D$6/L)*COS(PI()*$B8/L))</f>
        <v>7.4521133088087207E-2</v>
      </c>
      <c r="E8" s="7">
        <f t="shared" si="0"/>
        <v>0.22189872029353933</v>
      </c>
      <c r="F8" s="7">
        <f t="shared" si="0"/>
        <v>0.36431945676423111</v>
      </c>
      <c r="G8" s="7">
        <f t="shared" si="0"/>
        <v>0.49860189859059001</v>
      </c>
      <c r="H8" s="7">
        <f t="shared" si="0"/>
        <v>0.6217463979172706</v>
      </c>
      <c r="I8" s="7">
        <f t="shared" si="0"/>
        <v>0.73100211011947447</v>
      </c>
      <c r="J8" s="7">
        <f t="shared" si="0"/>
        <v>0.82392844312623426</v>
      </c>
      <c r="K8" s="7">
        <f t="shared" si="0"/>
        <v>0.89844957621432131</v>
      </c>
      <c r="L8" s="7">
        <f t="shared" si="0"/>
        <v>0.95290083041301388</v>
      </c>
      <c r="M8" s="7">
        <f t="shared" si="0"/>
        <v>0.98606585468150187</v>
      </c>
      <c r="N8" s="7">
        <f t="shared" ref="N8:X17" si="1">IF(COUNT($B8,N$6)&lt;2,"",U0*SIN(PI()*N$6/L)*COS(PI()*$B8/L))</f>
        <v>0.99720379718118013</v>
      </c>
      <c r="O8" s="7">
        <f t="shared" si="1"/>
        <v>0.98606585468150187</v>
      </c>
      <c r="P8" s="7">
        <f t="shared" si="1"/>
        <v>0.95290083041301388</v>
      </c>
      <c r="Q8" s="7">
        <f t="shared" si="1"/>
        <v>0.89844957621432142</v>
      </c>
      <c r="R8" s="7">
        <f t="shared" si="1"/>
        <v>0.82392844312623414</v>
      </c>
      <c r="S8" s="7">
        <f t="shared" si="1"/>
        <v>0.73100211011947469</v>
      </c>
      <c r="T8" s="7">
        <f t="shared" si="1"/>
        <v>0.62174639791727071</v>
      </c>
      <c r="U8" s="7">
        <f t="shared" si="1"/>
        <v>0.4986018985905904</v>
      </c>
      <c r="V8" s="7">
        <f t="shared" si="1"/>
        <v>0.36431945676423139</v>
      </c>
      <c r="W8" s="7">
        <f t="shared" si="1"/>
        <v>0.22189872029353988</v>
      </c>
      <c r="X8" s="7">
        <f t="shared" si="1"/>
        <v>7.4521133088087638E-2</v>
      </c>
    </row>
    <row r="9" spans="1:24" x14ac:dyDescent="0.25">
      <c r="A9" s="2">
        <v>2</v>
      </c>
      <c r="B9" s="4">
        <f>IF(2&lt;=N,(2-0.5)*dx,"")</f>
        <v>7.1428571428571425E-2</v>
      </c>
      <c r="D9" s="7">
        <f t="shared" si="0"/>
        <v>7.2856454117364869E-2</v>
      </c>
      <c r="E9" s="4">
        <f t="shared" si="0"/>
        <v>0.21694186955877906</v>
      </c>
      <c r="F9" s="4">
        <f t="shared" si="0"/>
        <v>0.3561811621198982</v>
      </c>
      <c r="G9" s="4">
        <f t="shared" si="0"/>
        <v>0.48746395609091175</v>
      </c>
      <c r="H9" s="4">
        <f t="shared" si="0"/>
        <v>0.60785761079279388</v>
      </c>
      <c r="I9" s="4">
        <f t="shared" si="0"/>
        <v>0.71467273092403028</v>
      </c>
      <c r="J9" s="4">
        <f t="shared" si="0"/>
        <v>0.80552324320756186</v>
      </c>
      <c r="K9" s="4">
        <f t="shared" si="0"/>
        <v>0.8783796973249266</v>
      </c>
      <c r="L9" s="4">
        <f t="shared" si="0"/>
        <v>0.93161460048280931</v>
      </c>
      <c r="M9" s="4">
        <f t="shared" si="0"/>
        <v>0.96403877291269224</v>
      </c>
      <c r="N9" s="4">
        <f t="shared" si="1"/>
        <v>0.97492791218182362</v>
      </c>
      <c r="O9" s="4">
        <f t="shared" si="1"/>
        <v>0.96403877291269224</v>
      </c>
      <c r="P9" s="4">
        <f t="shared" si="1"/>
        <v>0.93161460048280931</v>
      </c>
      <c r="Q9" s="4">
        <f t="shared" si="1"/>
        <v>0.87837969732492671</v>
      </c>
      <c r="R9" s="4">
        <f t="shared" si="1"/>
        <v>0.80552324320756175</v>
      </c>
      <c r="S9" s="4">
        <f t="shared" si="1"/>
        <v>0.7146727309240305</v>
      </c>
      <c r="T9" s="4">
        <f t="shared" si="1"/>
        <v>0.60785761079279399</v>
      </c>
      <c r="U9" s="4">
        <f t="shared" si="1"/>
        <v>0.48746395609091214</v>
      </c>
      <c r="V9" s="4">
        <f t="shared" si="1"/>
        <v>0.35618116211989848</v>
      </c>
      <c r="W9" s="4">
        <f t="shared" si="1"/>
        <v>0.21694186955877959</v>
      </c>
      <c r="X9" s="7">
        <f t="shared" si="1"/>
        <v>7.2856454117365285E-2</v>
      </c>
    </row>
    <row r="10" spans="1:24" x14ac:dyDescent="0.25">
      <c r="A10" s="2">
        <v>3</v>
      </c>
      <c r="B10" s="4">
        <f>IF(3&lt;=N,(3-0.5)*dx,"")</f>
        <v>0.11904761904761904</v>
      </c>
      <c r="D10" s="7">
        <f t="shared" si="0"/>
        <v>6.9564282353326942E-2</v>
      </c>
      <c r="E10" s="4">
        <f t="shared" si="0"/>
        <v>0.20713889594372378</v>
      </c>
      <c r="F10" s="4">
        <f t="shared" si="0"/>
        <v>0.34008636888545968</v>
      </c>
      <c r="G10" s="4">
        <f t="shared" si="0"/>
        <v>0.46543687432210207</v>
      </c>
      <c r="H10" s="4">
        <f t="shared" si="0"/>
        <v>0.58039028909767143</v>
      </c>
      <c r="I10" s="4">
        <f t="shared" si="0"/>
        <v>0.68237874388088104</v>
      </c>
      <c r="J10" s="4">
        <f t="shared" si="0"/>
        <v>0.76912398512272284</v>
      </c>
      <c r="K10" s="4">
        <f t="shared" si="0"/>
        <v>0.83868826747604963</v>
      </c>
      <c r="L10" s="4">
        <f t="shared" si="0"/>
        <v>0.88951763982460497</v>
      </c>
      <c r="M10" s="4">
        <f t="shared" si="0"/>
        <v>0.92047665798313105</v>
      </c>
      <c r="N10" s="4">
        <f t="shared" si="1"/>
        <v>0.93087374864420425</v>
      </c>
      <c r="O10" s="4">
        <f t="shared" si="1"/>
        <v>0.92047665798313105</v>
      </c>
      <c r="P10" s="4">
        <f t="shared" si="1"/>
        <v>0.88951763982460497</v>
      </c>
      <c r="Q10" s="4">
        <f t="shared" si="1"/>
        <v>0.83868826747604974</v>
      </c>
      <c r="R10" s="4">
        <f t="shared" si="1"/>
        <v>0.76912398512272273</v>
      </c>
      <c r="S10" s="4">
        <f t="shared" si="1"/>
        <v>0.68237874388088127</v>
      </c>
      <c r="T10" s="4">
        <f t="shared" si="1"/>
        <v>0.58039028909767143</v>
      </c>
      <c r="U10" s="4">
        <f t="shared" si="1"/>
        <v>0.46543687432210246</v>
      </c>
      <c r="V10" s="4">
        <f t="shared" si="1"/>
        <v>0.3400863688854599</v>
      </c>
      <c r="W10" s="4">
        <f t="shared" si="1"/>
        <v>0.20713889594372428</v>
      </c>
      <c r="X10" s="7">
        <f t="shared" si="1"/>
        <v>6.9564282353327345E-2</v>
      </c>
    </row>
    <row r="11" spans="1:24" x14ac:dyDescent="0.25">
      <c r="A11" s="2">
        <v>4</v>
      </c>
      <c r="B11" s="4">
        <f>IF(4&lt;=N,(4-0.5)*dx,"")</f>
        <v>0.16666666666666666</v>
      </c>
      <c r="D11" s="7">
        <f t="shared" si="0"/>
        <v>6.4718159473031944E-2</v>
      </c>
      <c r="E11" s="4">
        <f t="shared" si="0"/>
        <v>0.1927087816800076</v>
      </c>
      <c r="F11" s="4">
        <f t="shared" si="0"/>
        <v>0.31639460814592768</v>
      </c>
      <c r="G11" s="4">
        <f t="shared" si="0"/>
        <v>0.4330127018922193</v>
      </c>
      <c r="H11" s="4">
        <f t="shared" si="0"/>
        <v>0.5399580074101894</v>
      </c>
      <c r="I11" s="4">
        <f t="shared" si="0"/>
        <v>0.63484154329636389</v>
      </c>
      <c r="J11" s="4">
        <f t="shared" si="0"/>
        <v>0.71554376814936926</v>
      </c>
      <c r="K11" s="4">
        <f t="shared" si="0"/>
        <v>0.7802619276224011</v>
      </c>
      <c r="L11" s="4">
        <f t="shared" si="0"/>
        <v>0.82755032497637149</v>
      </c>
      <c r="M11" s="4">
        <f t="shared" si="0"/>
        <v>0.85635261555611708</v>
      </c>
      <c r="N11" s="4">
        <f t="shared" si="1"/>
        <v>0.86602540378443871</v>
      </c>
      <c r="O11" s="4">
        <f t="shared" si="1"/>
        <v>0.85635261555611708</v>
      </c>
      <c r="P11" s="4">
        <f t="shared" si="1"/>
        <v>0.82755032497637149</v>
      </c>
      <c r="Q11" s="4">
        <f t="shared" si="1"/>
        <v>0.78026192762240121</v>
      </c>
      <c r="R11" s="4">
        <f t="shared" si="1"/>
        <v>0.71554376814936915</v>
      </c>
      <c r="S11" s="4">
        <f t="shared" si="1"/>
        <v>0.63484154329636411</v>
      </c>
      <c r="T11" s="4">
        <f t="shared" si="1"/>
        <v>0.5399580074101894</v>
      </c>
      <c r="U11" s="4">
        <f t="shared" si="1"/>
        <v>0.43301270189221963</v>
      </c>
      <c r="V11" s="4">
        <f t="shared" si="1"/>
        <v>0.3163946081459279</v>
      </c>
      <c r="W11" s="4">
        <f t="shared" si="1"/>
        <v>0.19270878168000807</v>
      </c>
      <c r="X11" s="7">
        <f t="shared" si="1"/>
        <v>6.4718159473032319E-2</v>
      </c>
    </row>
    <row r="12" spans="1:24" x14ac:dyDescent="0.25">
      <c r="A12" s="2">
        <v>5</v>
      </c>
      <c r="B12" s="4">
        <f>IF(5&lt;=N,(5-0.5)*dx,"")</f>
        <v>0.21428571428571427</v>
      </c>
      <c r="D12" s="7">
        <f t="shared" si="0"/>
        <v>5.8426339853648666E-2</v>
      </c>
      <c r="E12" s="4">
        <f t="shared" si="0"/>
        <v>0.17397387167523584</v>
      </c>
      <c r="F12" s="4">
        <f t="shared" si="0"/>
        <v>0.28563511468676717</v>
      </c>
      <c r="G12" s="4">
        <f t="shared" si="0"/>
        <v>0.39091574123401485</v>
      </c>
      <c r="H12" s="4">
        <f t="shared" si="0"/>
        <v>0.48746395609091175</v>
      </c>
      <c r="I12" s="4">
        <f t="shared" si="0"/>
        <v>0.57312303167867718</v>
      </c>
      <c r="J12" s="4">
        <f t="shared" si="0"/>
        <v>0.64597948579604225</v>
      </c>
      <c r="K12" s="4">
        <f t="shared" si="0"/>
        <v>0.70440582564969079</v>
      </c>
      <c r="L12" s="4">
        <f t="shared" si="0"/>
        <v>0.7470969033539131</v>
      </c>
      <c r="M12" s="4">
        <f t="shared" si="0"/>
        <v>0.77309907077767903</v>
      </c>
      <c r="N12" s="4">
        <f t="shared" si="1"/>
        <v>0.7818314824680298</v>
      </c>
      <c r="O12" s="4">
        <f t="shared" si="1"/>
        <v>0.77309907077767903</v>
      </c>
      <c r="P12" s="4">
        <f t="shared" si="1"/>
        <v>0.7470969033539131</v>
      </c>
      <c r="Q12" s="4">
        <f t="shared" si="1"/>
        <v>0.7044058256496909</v>
      </c>
      <c r="R12" s="4">
        <f t="shared" si="1"/>
        <v>0.64597948579604214</v>
      </c>
      <c r="S12" s="4">
        <f t="shared" si="1"/>
        <v>0.5731230316786774</v>
      </c>
      <c r="T12" s="4">
        <f t="shared" si="1"/>
        <v>0.48746395609091187</v>
      </c>
      <c r="U12" s="4">
        <f t="shared" si="1"/>
        <v>0.39091574123401518</v>
      </c>
      <c r="V12" s="4">
        <f t="shared" si="1"/>
        <v>0.28563511468676739</v>
      </c>
      <c r="W12" s="4">
        <f t="shared" si="1"/>
        <v>0.17397387167523626</v>
      </c>
      <c r="X12" s="7">
        <f t="shared" si="1"/>
        <v>5.8426339853649006E-2</v>
      </c>
    </row>
    <row r="13" spans="1:24" x14ac:dyDescent="0.25">
      <c r="A13" s="2">
        <v>6</v>
      </c>
      <c r="B13" s="4">
        <f>IF(6&lt;=N,(6-0.5)*dx,"")</f>
        <v>0.26190476190476186</v>
      </c>
      <c r="D13" s="7">
        <f t="shared" si="0"/>
        <v>5.082937234855521E-2</v>
      </c>
      <c r="E13" s="4">
        <f t="shared" si="0"/>
        <v>0.15135267286040835</v>
      </c>
      <c r="F13" s="4">
        <f t="shared" si="0"/>
        <v>0.24849500476332312</v>
      </c>
      <c r="G13" s="4">
        <f t="shared" si="0"/>
        <v>0.34008636888545973</v>
      </c>
      <c r="H13" s="4">
        <f t="shared" si="0"/>
        <v>0.42408076550250295</v>
      </c>
      <c r="I13" s="4">
        <f t="shared" si="0"/>
        <v>0.49860189859059012</v>
      </c>
      <c r="J13" s="4">
        <f t="shared" si="0"/>
        <v>0.56198508917899925</v>
      </c>
      <c r="K13" s="4">
        <f t="shared" si="0"/>
        <v>0.61281446152755437</v>
      </c>
      <c r="L13" s="4">
        <f t="shared" si="0"/>
        <v>0.64995457145099855</v>
      </c>
      <c r="M13" s="4">
        <f t="shared" si="0"/>
        <v>0.67257577026582605</v>
      </c>
      <c r="N13" s="4">
        <f t="shared" si="1"/>
        <v>0.68017273777091958</v>
      </c>
      <c r="O13" s="4">
        <f t="shared" si="1"/>
        <v>0.67257577026582605</v>
      </c>
      <c r="P13" s="4">
        <f t="shared" si="1"/>
        <v>0.64995457145099855</v>
      </c>
      <c r="Q13" s="4">
        <f t="shared" si="1"/>
        <v>0.61281446152755437</v>
      </c>
      <c r="R13" s="4">
        <f t="shared" si="1"/>
        <v>0.56198508917899914</v>
      </c>
      <c r="S13" s="4">
        <f t="shared" si="1"/>
        <v>0.49860189859059029</v>
      </c>
      <c r="T13" s="4">
        <f t="shared" si="1"/>
        <v>0.42408076550250301</v>
      </c>
      <c r="U13" s="4">
        <f t="shared" si="1"/>
        <v>0.34008636888546001</v>
      </c>
      <c r="V13" s="4">
        <f t="shared" si="1"/>
        <v>0.24849500476332331</v>
      </c>
      <c r="W13" s="4">
        <f t="shared" si="1"/>
        <v>0.15135267286040871</v>
      </c>
      <c r="X13" s="7">
        <f t="shared" si="1"/>
        <v>5.0829372348555509E-2</v>
      </c>
    </row>
    <row r="14" spans="1:24" x14ac:dyDescent="0.25">
      <c r="A14" s="2">
        <v>7</v>
      </c>
      <c r="B14" s="4">
        <f>IF(7&lt;=N,(7-0.5)*dx,"")</f>
        <v>0.30952380952380953</v>
      </c>
      <c r="D14" s="7">
        <f t="shared" si="0"/>
        <v>4.2096960658204403E-2</v>
      </c>
      <c r="E14" s="4">
        <f t="shared" si="0"/>
        <v>0.12535050543664242</v>
      </c>
      <c r="F14" s="4">
        <f t="shared" si="0"/>
        <v>0.20580392705910075</v>
      </c>
      <c r="G14" s="4">
        <f t="shared" si="0"/>
        <v>0.28166002903181092</v>
      </c>
      <c r="H14" s="4">
        <f t="shared" si="0"/>
        <v>0.35122431138513788</v>
      </c>
      <c r="I14" s="4">
        <f t="shared" si="0"/>
        <v>0.41294282300282448</v>
      </c>
      <c r="J14" s="4">
        <f t="shared" si="0"/>
        <v>0.46543687432210207</v>
      </c>
      <c r="K14" s="4">
        <f t="shared" si="0"/>
        <v>0.50753383498030646</v>
      </c>
      <c r="L14" s="4">
        <f t="shared" si="0"/>
        <v>0.53829332843946687</v>
      </c>
      <c r="M14" s="4">
        <f t="shared" si="0"/>
        <v>0.55702823844423865</v>
      </c>
      <c r="N14" s="4">
        <f t="shared" si="1"/>
        <v>0.56332005806362195</v>
      </c>
      <c r="O14" s="4">
        <f t="shared" si="1"/>
        <v>0.55702823844423865</v>
      </c>
      <c r="P14" s="4">
        <f t="shared" si="1"/>
        <v>0.53829332843946687</v>
      </c>
      <c r="Q14" s="4">
        <f t="shared" si="1"/>
        <v>0.50753383498030646</v>
      </c>
      <c r="R14" s="4">
        <f t="shared" si="1"/>
        <v>0.46543687432210201</v>
      </c>
      <c r="S14" s="4">
        <f t="shared" si="1"/>
        <v>0.41294282300282459</v>
      </c>
      <c r="T14" s="4">
        <f t="shared" si="1"/>
        <v>0.35122431138513793</v>
      </c>
      <c r="U14" s="4">
        <f t="shared" si="1"/>
        <v>0.28166002903181114</v>
      </c>
      <c r="V14" s="4">
        <f t="shared" si="1"/>
        <v>0.20580392705910089</v>
      </c>
      <c r="W14" s="4">
        <f t="shared" si="1"/>
        <v>0.12535050543664272</v>
      </c>
      <c r="X14" s="7">
        <f t="shared" si="1"/>
        <v>4.2096960658204646E-2</v>
      </c>
    </row>
    <row r="15" spans="1:24" x14ac:dyDescent="0.25">
      <c r="A15" s="2">
        <v>8</v>
      </c>
      <c r="B15" s="4">
        <f>IF(8&lt;=N,(8-0.5)*dx,"")</f>
        <v>0.3571428571428571</v>
      </c>
      <c r="D15" s="7">
        <f t="shared" si="0"/>
        <v>3.2424172429882818E-2</v>
      </c>
      <c r="E15" s="4">
        <f t="shared" si="0"/>
        <v>9.6548214856896949E-2</v>
      </c>
      <c r="F15" s="4">
        <f t="shared" si="0"/>
        <v>0.15851552970513044</v>
      </c>
      <c r="G15" s="4">
        <f t="shared" si="0"/>
        <v>0.21694186955877914</v>
      </c>
      <c r="H15" s="4">
        <f t="shared" si="0"/>
        <v>0.27052208653213289</v>
      </c>
      <c r="I15" s="4">
        <f t="shared" si="0"/>
        <v>0.31805928711665016</v>
      </c>
      <c r="J15" s="4">
        <f t="shared" si="0"/>
        <v>0.3584915688041323</v>
      </c>
      <c r="K15" s="4">
        <f t="shared" si="0"/>
        <v>0.39091574123401507</v>
      </c>
      <c r="L15" s="4">
        <f t="shared" si="0"/>
        <v>0.41460750197354712</v>
      </c>
      <c r="M15" s="4">
        <f t="shared" si="0"/>
        <v>0.42903761623726333</v>
      </c>
      <c r="N15" s="4">
        <f t="shared" si="1"/>
        <v>0.43388373911755834</v>
      </c>
      <c r="O15" s="4">
        <f t="shared" si="1"/>
        <v>0.42903761623726333</v>
      </c>
      <c r="P15" s="4">
        <f t="shared" si="1"/>
        <v>0.41460750197354712</v>
      </c>
      <c r="Q15" s="4">
        <f t="shared" si="1"/>
        <v>0.39091574123401512</v>
      </c>
      <c r="R15" s="4">
        <f t="shared" si="1"/>
        <v>0.35849156880413224</v>
      </c>
      <c r="S15" s="4">
        <f t="shared" si="1"/>
        <v>0.31805928711665021</v>
      </c>
      <c r="T15" s="4">
        <f t="shared" si="1"/>
        <v>0.27052208653213289</v>
      </c>
      <c r="U15" s="4">
        <f t="shared" si="1"/>
        <v>0.21694186955877931</v>
      </c>
      <c r="V15" s="4">
        <f t="shared" si="1"/>
        <v>0.15851552970513058</v>
      </c>
      <c r="W15" s="4">
        <f t="shared" si="1"/>
        <v>9.6548214856897185E-2</v>
      </c>
      <c r="X15" s="7">
        <f t="shared" si="1"/>
        <v>3.2424172429882998E-2</v>
      </c>
    </row>
    <row r="16" spans="1:24" x14ac:dyDescent="0.25">
      <c r="A16" s="2">
        <v>9</v>
      </c>
      <c r="B16" s="4">
        <f>IF(9&lt;=N,(9-0.5)*dx,"")</f>
        <v>0.40476190476190477</v>
      </c>
      <c r="D16" s="7">
        <f t="shared" si="0"/>
        <v>2.202708176880968E-2</v>
      </c>
      <c r="E16" s="4">
        <f t="shared" si="0"/>
        <v>6.5589196698370766E-2</v>
      </c>
      <c r="F16" s="4">
        <f t="shared" si="0"/>
        <v>0.1076861573565752</v>
      </c>
      <c r="G16" s="4">
        <f t="shared" si="0"/>
        <v>0.14737758720545213</v>
      </c>
      <c r="H16" s="4">
        <f t="shared" si="0"/>
        <v>0.18377684529029117</v>
      </c>
      <c r="I16" s="4">
        <f t="shared" si="0"/>
        <v>0.21607083233344032</v>
      </c>
      <c r="J16" s="4">
        <f t="shared" si="0"/>
        <v>0.24353815402856288</v>
      </c>
      <c r="K16" s="4">
        <f t="shared" si="0"/>
        <v>0.26556523579737251</v>
      </c>
      <c r="L16" s="4">
        <f t="shared" si="0"/>
        <v>0.28166002903181109</v>
      </c>
      <c r="M16" s="4">
        <f t="shared" si="0"/>
        <v>0.29146300264686636</v>
      </c>
      <c r="N16" s="4">
        <f t="shared" si="1"/>
        <v>0.29475517441090432</v>
      </c>
      <c r="O16" s="4">
        <f t="shared" si="1"/>
        <v>0.29146300264686636</v>
      </c>
      <c r="P16" s="4">
        <f t="shared" si="1"/>
        <v>0.28166002903181109</v>
      </c>
      <c r="Q16" s="4">
        <f t="shared" si="1"/>
        <v>0.26556523579737257</v>
      </c>
      <c r="R16" s="4">
        <f t="shared" si="1"/>
        <v>0.24353815402856285</v>
      </c>
      <c r="S16" s="4">
        <f t="shared" si="1"/>
        <v>0.21607083233344038</v>
      </c>
      <c r="T16" s="4">
        <f t="shared" si="1"/>
        <v>0.1837768452902912</v>
      </c>
      <c r="U16" s="4">
        <f t="shared" si="1"/>
        <v>0.14737758720545227</v>
      </c>
      <c r="V16" s="4">
        <f t="shared" si="1"/>
        <v>0.10768615735657527</v>
      </c>
      <c r="W16" s="4">
        <f t="shared" si="1"/>
        <v>6.5589196698370933E-2</v>
      </c>
      <c r="X16" s="7">
        <f t="shared" si="1"/>
        <v>2.2027081768809804E-2</v>
      </c>
    </row>
    <row r="17" spans="1:24" x14ac:dyDescent="0.25">
      <c r="A17" s="2">
        <v>10</v>
      </c>
      <c r="B17" s="4">
        <f>IF(10&lt;=N,(10-0.5)*dx,"")</f>
        <v>0.45238095238095233</v>
      </c>
      <c r="D17" s="7">
        <f t="shared" si="0"/>
        <v>1.1137942499678283E-2</v>
      </c>
      <c r="E17" s="4">
        <f t="shared" si="0"/>
        <v>3.316502426848799E-2</v>
      </c>
      <c r="F17" s="4">
        <f t="shared" si="0"/>
        <v>5.4451254198692546E-2</v>
      </c>
      <c r="G17" s="4">
        <f t="shared" si="0"/>
        <v>7.4521133088087305E-2</v>
      </c>
      <c r="H17" s="4">
        <f t="shared" si="0"/>
        <v>9.2926333006759745E-2</v>
      </c>
      <c r="I17" s="4">
        <f t="shared" si="0"/>
        <v>0.10925571220220401</v>
      </c>
      <c r="J17" s="4">
        <f t="shared" si="0"/>
        <v>0.1231444993266808</v>
      </c>
      <c r="K17" s="4">
        <f t="shared" si="0"/>
        <v>0.13428244182635907</v>
      </c>
      <c r="L17" s="4">
        <f t="shared" si="0"/>
        <v>0.14242073647069201</v>
      </c>
      <c r="M17" s="4">
        <f t="shared" si="0"/>
        <v>0.1473775872054523</v>
      </c>
      <c r="N17" s="4">
        <f t="shared" si="1"/>
        <v>0.14904226617617464</v>
      </c>
      <c r="O17" s="4">
        <f t="shared" si="1"/>
        <v>0.1473775872054523</v>
      </c>
      <c r="P17" s="4">
        <f t="shared" si="1"/>
        <v>0.14242073647069201</v>
      </c>
      <c r="Q17" s="4">
        <f t="shared" si="1"/>
        <v>0.13428244182635907</v>
      </c>
      <c r="R17" s="4">
        <f t="shared" si="1"/>
        <v>0.12314449932668078</v>
      </c>
      <c r="S17" s="4">
        <f t="shared" si="1"/>
        <v>0.10925571220220405</v>
      </c>
      <c r="T17" s="4">
        <f t="shared" si="1"/>
        <v>9.2926333006759759E-2</v>
      </c>
      <c r="U17" s="4">
        <f t="shared" si="1"/>
        <v>7.4521133088087374E-2</v>
      </c>
      <c r="V17" s="4">
        <f t="shared" si="1"/>
        <v>5.4451254198692588E-2</v>
      </c>
      <c r="W17" s="4">
        <f t="shared" si="1"/>
        <v>3.3165024268488066E-2</v>
      </c>
      <c r="X17" s="7">
        <f t="shared" si="1"/>
        <v>1.1137942499678347E-2</v>
      </c>
    </row>
    <row r="18" spans="1:24" x14ac:dyDescent="0.25">
      <c r="A18" s="2">
        <v>11</v>
      </c>
      <c r="B18" s="4">
        <f>IF(11&lt;=N,(11-0.5)*dx,"")</f>
        <v>0.5</v>
      </c>
      <c r="D18" s="7">
        <f t="shared" ref="D18:M28" si="2">IF(COUNT($B18,D$6)&lt;2,"",U0*SIN(PI()*D$6/L)*COS(PI()*$B18/L))</f>
        <v>4.5777729346292119E-18</v>
      </c>
      <c r="E18" s="4">
        <f t="shared" si="2"/>
        <v>1.3631058921070083E-17</v>
      </c>
      <c r="F18" s="4">
        <f t="shared" si="2"/>
        <v>2.2379849575861066E-17</v>
      </c>
      <c r="G18" s="4">
        <f t="shared" si="2"/>
        <v>3.0628711372715494E-17</v>
      </c>
      <c r="H18" s="4">
        <f t="shared" si="2"/>
        <v>3.8193378369925447E-17</v>
      </c>
      <c r="I18" s="4">
        <f t="shared" si="2"/>
        <v>4.4904868407009169E-17</v>
      </c>
      <c r="J18" s="4">
        <f t="shared" si="2"/>
        <v>5.0613257886941657E-17</v>
      </c>
      <c r="K18" s="4">
        <f t="shared" si="2"/>
        <v>5.5191030821570865E-17</v>
      </c>
      <c r="L18" s="4">
        <f t="shared" si="2"/>
        <v>5.8535927328079258E-17</v>
      </c>
      <c r="M18" s="4">
        <f t="shared" si="2"/>
        <v>6.057322794578652E-17</v>
      </c>
      <c r="N18" s="4">
        <f t="shared" ref="N18:X28" si="3">IF(COUNT($B18,N$6)&lt;2,"",U0*SIN(PI()*N$6/L)*COS(PI()*$B18/L))</f>
        <v>6.1257422745431001E-17</v>
      </c>
      <c r="O18" s="4">
        <f t="shared" si="3"/>
        <v>6.057322794578652E-17</v>
      </c>
      <c r="P18" s="4">
        <f t="shared" si="3"/>
        <v>5.8535927328079258E-17</v>
      </c>
      <c r="Q18" s="4">
        <f t="shared" si="3"/>
        <v>5.5191030821570871E-17</v>
      </c>
      <c r="R18" s="4">
        <f t="shared" si="3"/>
        <v>5.0613257886941651E-17</v>
      </c>
      <c r="S18" s="4">
        <f t="shared" si="3"/>
        <v>4.4904868407009181E-17</v>
      </c>
      <c r="T18" s="4">
        <f t="shared" si="3"/>
        <v>3.8193378369925454E-17</v>
      </c>
      <c r="U18" s="4">
        <f t="shared" si="3"/>
        <v>3.0628711372715519E-17</v>
      </c>
      <c r="V18" s="4">
        <f t="shared" si="3"/>
        <v>2.2379849575861082E-17</v>
      </c>
      <c r="W18" s="4">
        <f t="shared" si="3"/>
        <v>1.3631058921070117E-17</v>
      </c>
      <c r="X18" s="7">
        <f t="shared" si="3"/>
        <v>4.5777729346292381E-18</v>
      </c>
    </row>
    <row r="19" spans="1:24" x14ac:dyDescent="0.25">
      <c r="A19" s="2">
        <v>12</v>
      </c>
      <c r="B19" s="4">
        <f>IF(12&lt;=N,(12-0.5)*dx,"")</f>
        <v>0.54761904761904756</v>
      </c>
      <c r="D19" s="7">
        <f t="shared" si="2"/>
        <v>-1.1137942499678258E-2</v>
      </c>
      <c r="E19" s="4">
        <f t="shared" si="2"/>
        <v>-3.3165024268487914E-2</v>
      </c>
      <c r="F19" s="4">
        <f t="shared" si="2"/>
        <v>-5.4451254198692421E-2</v>
      </c>
      <c r="G19" s="4">
        <f t="shared" si="2"/>
        <v>-7.4521133088087138E-2</v>
      </c>
      <c r="H19" s="4">
        <f t="shared" si="2"/>
        <v>-9.2926333006759537E-2</v>
      </c>
      <c r="I19" s="4">
        <f t="shared" si="2"/>
        <v>-0.10925571220220377</v>
      </c>
      <c r="J19" s="4">
        <f t="shared" si="2"/>
        <v>-0.12314449932668052</v>
      </c>
      <c r="K19" s="4">
        <f t="shared" si="2"/>
        <v>-0.13428244182635876</v>
      </c>
      <c r="L19" s="4">
        <f t="shared" si="2"/>
        <v>-0.1424207364706917</v>
      </c>
      <c r="M19" s="4">
        <f t="shared" si="2"/>
        <v>-0.14737758720545197</v>
      </c>
      <c r="N19" s="4">
        <f t="shared" si="3"/>
        <v>-0.1490422661761743</v>
      </c>
      <c r="O19" s="4">
        <f t="shared" si="3"/>
        <v>-0.14737758720545197</v>
      </c>
      <c r="P19" s="4">
        <f t="shared" si="3"/>
        <v>-0.1424207364706917</v>
      </c>
      <c r="Q19" s="4">
        <f t="shared" si="3"/>
        <v>-0.13428244182635879</v>
      </c>
      <c r="R19" s="4">
        <f t="shared" si="3"/>
        <v>-0.12314449932668051</v>
      </c>
      <c r="S19" s="4">
        <f t="shared" si="3"/>
        <v>-0.1092557122022038</v>
      </c>
      <c r="T19" s="4">
        <f t="shared" si="3"/>
        <v>-9.2926333006759551E-2</v>
      </c>
      <c r="U19" s="4">
        <f t="shared" si="3"/>
        <v>-7.4521133088087207E-2</v>
      </c>
      <c r="V19" s="4">
        <f t="shared" si="3"/>
        <v>-5.4451254198692463E-2</v>
      </c>
      <c r="W19" s="4">
        <f t="shared" si="3"/>
        <v>-3.3165024268487997E-2</v>
      </c>
      <c r="X19" s="7">
        <f t="shared" si="3"/>
        <v>-1.1137942499678323E-2</v>
      </c>
    </row>
    <row r="20" spans="1:24" x14ac:dyDescent="0.25">
      <c r="A20" s="2">
        <v>13</v>
      </c>
      <c r="B20" s="4">
        <f>IF(13&lt;=N,(13-0.5)*dx,"")</f>
        <v>0.59523809523809523</v>
      </c>
      <c r="D20" s="7">
        <f t="shared" si="2"/>
        <v>-2.2027081768809669E-2</v>
      </c>
      <c r="E20" s="4">
        <f t="shared" si="2"/>
        <v>-6.5589196698370739E-2</v>
      </c>
      <c r="F20" s="4">
        <f t="shared" si="2"/>
        <v>-0.10768615735657516</v>
      </c>
      <c r="G20" s="4">
        <f t="shared" si="2"/>
        <v>-0.14737758720545208</v>
      </c>
      <c r="H20" s="4">
        <f t="shared" si="2"/>
        <v>-0.18377684529029109</v>
      </c>
      <c r="I20" s="4">
        <f t="shared" si="2"/>
        <v>-0.21607083233344024</v>
      </c>
      <c r="J20" s="4">
        <f t="shared" si="2"/>
        <v>-0.2435381540285628</v>
      </c>
      <c r="K20" s="4">
        <f t="shared" si="2"/>
        <v>-0.26556523579737246</v>
      </c>
      <c r="L20" s="4">
        <f t="shared" si="2"/>
        <v>-0.28166002903181098</v>
      </c>
      <c r="M20" s="4">
        <f t="shared" si="2"/>
        <v>-0.29146300264686625</v>
      </c>
      <c r="N20" s="4">
        <f t="shared" si="3"/>
        <v>-0.29475517441090421</v>
      </c>
      <c r="O20" s="4">
        <f t="shared" si="3"/>
        <v>-0.29146300264686625</v>
      </c>
      <c r="P20" s="4">
        <f t="shared" si="3"/>
        <v>-0.28166002903181098</v>
      </c>
      <c r="Q20" s="4">
        <f t="shared" si="3"/>
        <v>-0.26556523579737246</v>
      </c>
      <c r="R20" s="4">
        <f t="shared" si="3"/>
        <v>-0.24353815402856277</v>
      </c>
      <c r="S20" s="4">
        <f t="shared" si="3"/>
        <v>-0.21607083233344029</v>
      </c>
      <c r="T20" s="4">
        <f t="shared" si="3"/>
        <v>-0.18377684529029112</v>
      </c>
      <c r="U20" s="4">
        <f t="shared" si="3"/>
        <v>-0.14737758720545222</v>
      </c>
      <c r="V20" s="4">
        <f t="shared" si="3"/>
        <v>-0.10768615735657525</v>
      </c>
      <c r="W20" s="4">
        <f t="shared" si="3"/>
        <v>-6.5589196698370905E-2</v>
      </c>
      <c r="X20" s="7">
        <f t="shared" si="3"/>
        <v>-2.2027081768809798E-2</v>
      </c>
    </row>
    <row r="21" spans="1:24" x14ac:dyDescent="0.25">
      <c r="A21" s="2">
        <v>14</v>
      </c>
      <c r="B21" s="4">
        <f>IF(14&lt;=N,(14-0.5)*dx,"")</f>
        <v>0.64285714285714279</v>
      </c>
      <c r="D21" s="7">
        <f t="shared" si="2"/>
        <v>-3.2424172429882797E-2</v>
      </c>
      <c r="E21" s="4">
        <f t="shared" si="2"/>
        <v>-9.654821485689688E-2</v>
      </c>
      <c r="F21" s="4">
        <f t="shared" si="2"/>
        <v>-0.15851552970513036</v>
      </c>
      <c r="G21" s="4">
        <f t="shared" si="2"/>
        <v>-0.216941869558779</v>
      </c>
      <c r="H21" s="4">
        <f t="shared" si="2"/>
        <v>-0.27052208653213267</v>
      </c>
      <c r="I21" s="4">
        <f t="shared" si="2"/>
        <v>-0.31805928711664994</v>
      </c>
      <c r="J21" s="4">
        <f t="shared" si="2"/>
        <v>-0.35849156880413208</v>
      </c>
      <c r="K21" s="4">
        <f t="shared" si="2"/>
        <v>-0.39091574123401479</v>
      </c>
      <c r="L21" s="4">
        <f t="shared" si="2"/>
        <v>-0.41460750197354684</v>
      </c>
      <c r="M21" s="4">
        <f t="shared" si="2"/>
        <v>-0.42903761623726305</v>
      </c>
      <c r="N21" s="4">
        <f t="shared" si="3"/>
        <v>-0.43388373911755806</v>
      </c>
      <c r="O21" s="4">
        <f t="shared" si="3"/>
        <v>-0.42903761623726305</v>
      </c>
      <c r="P21" s="4">
        <f t="shared" si="3"/>
        <v>-0.41460750197354684</v>
      </c>
      <c r="Q21" s="4">
        <f t="shared" si="3"/>
        <v>-0.39091574123401485</v>
      </c>
      <c r="R21" s="4">
        <f t="shared" si="3"/>
        <v>-0.35849156880413202</v>
      </c>
      <c r="S21" s="4">
        <f t="shared" si="3"/>
        <v>-0.31805928711665005</v>
      </c>
      <c r="T21" s="4">
        <f t="shared" si="3"/>
        <v>-0.27052208653213272</v>
      </c>
      <c r="U21" s="4">
        <f t="shared" si="3"/>
        <v>-0.21694186955877917</v>
      </c>
      <c r="V21" s="4">
        <f t="shared" si="3"/>
        <v>-0.15851552970513047</v>
      </c>
      <c r="W21" s="4">
        <f t="shared" si="3"/>
        <v>-9.6548214856897116E-2</v>
      </c>
      <c r="X21" s="7">
        <f t="shared" si="3"/>
        <v>-3.2424172429882978E-2</v>
      </c>
    </row>
    <row r="22" spans="1:24" x14ac:dyDescent="0.25">
      <c r="A22" s="2">
        <v>15</v>
      </c>
      <c r="B22" s="4">
        <f>IF(15&lt;=N,(15-0.5)*dx,"")</f>
        <v>0.69047619047619047</v>
      </c>
      <c r="D22" s="7">
        <f t="shared" si="2"/>
        <v>-4.209696065820441E-2</v>
      </c>
      <c r="E22" s="4">
        <f t="shared" si="2"/>
        <v>-0.12535050543664245</v>
      </c>
      <c r="F22" s="4">
        <f t="shared" si="2"/>
        <v>-0.20580392705910078</v>
      </c>
      <c r="G22" s="4">
        <f t="shared" si="2"/>
        <v>-0.28166002903181098</v>
      </c>
      <c r="H22" s="4">
        <f t="shared" si="2"/>
        <v>-0.35122431138513799</v>
      </c>
      <c r="I22" s="4">
        <f t="shared" si="2"/>
        <v>-0.41294282300282453</v>
      </c>
      <c r="J22" s="4">
        <f t="shared" si="2"/>
        <v>-0.46543687432210218</v>
      </c>
      <c r="K22" s="4">
        <f t="shared" si="2"/>
        <v>-0.50753383498030658</v>
      </c>
      <c r="L22" s="4">
        <f t="shared" si="2"/>
        <v>-0.53829332843946698</v>
      </c>
      <c r="M22" s="4">
        <f t="shared" si="2"/>
        <v>-0.55702823844423877</v>
      </c>
      <c r="N22" s="4">
        <f t="shared" si="3"/>
        <v>-0.56332005806362206</v>
      </c>
      <c r="O22" s="4">
        <f t="shared" si="3"/>
        <v>-0.55702823844423877</v>
      </c>
      <c r="P22" s="4">
        <f t="shared" si="3"/>
        <v>-0.53829332843946698</v>
      </c>
      <c r="Q22" s="4">
        <f t="shared" si="3"/>
        <v>-0.50753383498030658</v>
      </c>
      <c r="R22" s="4">
        <f t="shared" si="3"/>
        <v>-0.46543687432210212</v>
      </c>
      <c r="S22" s="4">
        <f t="shared" si="3"/>
        <v>-0.4129428230028247</v>
      </c>
      <c r="T22" s="4">
        <f t="shared" si="3"/>
        <v>-0.35122431138513804</v>
      </c>
      <c r="U22" s="4">
        <f t="shared" si="3"/>
        <v>-0.2816600290318112</v>
      </c>
      <c r="V22" s="4">
        <f t="shared" si="3"/>
        <v>-0.20580392705910094</v>
      </c>
      <c r="W22" s="4">
        <f t="shared" si="3"/>
        <v>-0.12535050543664275</v>
      </c>
      <c r="X22" s="7">
        <f t="shared" si="3"/>
        <v>-4.2096960658204653E-2</v>
      </c>
    </row>
    <row r="23" spans="1:24" x14ac:dyDescent="0.25">
      <c r="A23" s="2">
        <v>16</v>
      </c>
      <c r="B23" s="4">
        <f>IF(16&lt;=N,(16-0.5)*dx,"")</f>
        <v>0.73809523809523803</v>
      </c>
      <c r="D23" s="7">
        <f t="shared" si="2"/>
        <v>-5.0829372348555189E-2</v>
      </c>
      <c r="E23" s="4">
        <f t="shared" si="2"/>
        <v>-0.15135267286040827</v>
      </c>
      <c r="F23" s="4">
        <f t="shared" si="2"/>
        <v>-0.24849500476332301</v>
      </c>
      <c r="G23" s="4">
        <f t="shared" si="2"/>
        <v>-0.34008636888545957</v>
      </c>
      <c r="H23" s="4">
        <f t="shared" si="2"/>
        <v>-0.42408076550250273</v>
      </c>
      <c r="I23" s="4">
        <f t="shared" si="2"/>
        <v>-0.4986018985905899</v>
      </c>
      <c r="J23" s="4">
        <f t="shared" si="2"/>
        <v>-0.56198508917899892</v>
      </c>
      <c r="K23" s="4">
        <f t="shared" si="2"/>
        <v>-0.61281446152755403</v>
      </c>
      <c r="L23" s="4">
        <f t="shared" si="2"/>
        <v>-0.64995457145099822</v>
      </c>
      <c r="M23" s="4">
        <f t="shared" si="2"/>
        <v>-0.67257577026582571</v>
      </c>
      <c r="N23" s="4">
        <f t="shared" si="3"/>
        <v>-0.68017273777091924</v>
      </c>
      <c r="O23" s="4">
        <f t="shared" si="3"/>
        <v>-0.67257577026582571</v>
      </c>
      <c r="P23" s="4">
        <f t="shared" si="3"/>
        <v>-0.64995457145099822</v>
      </c>
      <c r="Q23" s="4">
        <f t="shared" si="3"/>
        <v>-0.61281446152755414</v>
      </c>
      <c r="R23" s="4">
        <f t="shared" si="3"/>
        <v>-0.56198508917899881</v>
      </c>
      <c r="S23" s="4">
        <f t="shared" si="3"/>
        <v>-0.49860189859059006</v>
      </c>
      <c r="T23" s="4">
        <f t="shared" si="3"/>
        <v>-0.42408076550250279</v>
      </c>
      <c r="U23" s="4">
        <f t="shared" si="3"/>
        <v>-0.34008636888545984</v>
      </c>
      <c r="V23" s="4">
        <f t="shared" si="3"/>
        <v>-0.24849500476332317</v>
      </c>
      <c r="W23" s="4">
        <f t="shared" si="3"/>
        <v>-0.15135267286040865</v>
      </c>
      <c r="X23" s="7">
        <f t="shared" si="3"/>
        <v>-5.0829372348555481E-2</v>
      </c>
    </row>
    <row r="24" spans="1:24" x14ac:dyDescent="0.25">
      <c r="A24" s="2">
        <v>17</v>
      </c>
      <c r="B24" s="4">
        <f>IF(17&lt;=N,(17-0.5)*dx,"")</f>
        <v>0.7857142857142857</v>
      </c>
      <c r="D24" s="7">
        <f t="shared" si="2"/>
        <v>-5.8426339853648666E-2</v>
      </c>
      <c r="E24" s="4">
        <f t="shared" si="2"/>
        <v>-0.17397387167523584</v>
      </c>
      <c r="F24" s="4">
        <f t="shared" si="2"/>
        <v>-0.28563511468676717</v>
      </c>
      <c r="G24" s="4">
        <f t="shared" si="2"/>
        <v>-0.39091574123401485</v>
      </c>
      <c r="H24" s="4">
        <f t="shared" si="2"/>
        <v>-0.48746395609091175</v>
      </c>
      <c r="I24" s="4">
        <f t="shared" si="2"/>
        <v>-0.57312303167867718</v>
      </c>
      <c r="J24" s="4">
        <f t="shared" si="2"/>
        <v>-0.64597948579604225</v>
      </c>
      <c r="K24" s="4">
        <f t="shared" si="2"/>
        <v>-0.70440582564969079</v>
      </c>
      <c r="L24" s="4">
        <f t="shared" si="2"/>
        <v>-0.7470969033539131</v>
      </c>
      <c r="M24" s="4">
        <f t="shared" si="2"/>
        <v>-0.77309907077767903</v>
      </c>
      <c r="N24" s="4">
        <f t="shared" si="3"/>
        <v>-0.7818314824680298</v>
      </c>
      <c r="O24" s="4">
        <f t="shared" si="3"/>
        <v>-0.77309907077767903</v>
      </c>
      <c r="P24" s="4">
        <f t="shared" si="3"/>
        <v>-0.7470969033539131</v>
      </c>
      <c r="Q24" s="4">
        <f t="shared" si="3"/>
        <v>-0.7044058256496909</v>
      </c>
      <c r="R24" s="4">
        <f t="shared" si="3"/>
        <v>-0.64597948579604214</v>
      </c>
      <c r="S24" s="4">
        <f t="shared" si="3"/>
        <v>-0.5731230316786774</v>
      </c>
      <c r="T24" s="4">
        <f t="shared" si="3"/>
        <v>-0.48746395609091187</v>
      </c>
      <c r="U24" s="4">
        <f t="shared" si="3"/>
        <v>-0.39091574123401518</v>
      </c>
      <c r="V24" s="4">
        <f t="shared" si="3"/>
        <v>-0.28563511468676739</v>
      </c>
      <c r="W24" s="4">
        <f t="shared" si="3"/>
        <v>-0.17397387167523626</v>
      </c>
      <c r="X24" s="7">
        <f t="shared" si="3"/>
        <v>-5.8426339853649006E-2</v>
      </c>
    </row>
    <row r="25" spans="1:24" x14ac:dyDescent="0.25">
      <c r="A25" s="2">
        <v>18</v>
      </c>
      <c r="B25" s="4">
        <f>IF(18&lt;=N,(18-0.5)*dx,"")</f>
        <v>0.83333333333333326</v>
      </c>
      <c r="D25" s="7">
        <f t="shared" si="2"/>
        <v>-6.471815947303193E-2</v>
      </c>
      <c r="E25" s="4">
        <f t="shared" si="2"/>
        <v>-0.19270878168000755</v>
      </c>
      <c r="F25" s="4">
        <f t="shared" si="2"/>
        <v>-0.31639460814592757</v>
      </c>
      <c r="G25" s="4">
        <f t="shared" si="2"/>
        <v>-0.43301270189221919</v>
      </c>
      <c r="H25" s="4">
        <f t="shared" si="2"/>
        <v>-0.53995800741018918</v>
      </c>
      <c r="I25" s="4">
        <f t="shared" si="2"/>
        <v>-0.63484154329636366</v>
      </c>
      <c r="J25" s="4">
        <f t="shared" si="2"/>
        <v>-0.71554376814936904</v>
      </c>
      <c r="K25" s="4">
        <f t="shared" si="2"/>
        <v>-0.78026192762240087</v>
      </c>
      <c r="L25" s="4">
        <f t="shared" si="2"/>
        <v>-0.82755032497637127</v>
      </c>
      <c r="M25" s="4">
        <f t="shared" si="2"/>
        <v>-0.85635261555611686</v>
      </c>
      <c r="N25" s="4">
        <f t="shared" si="3"/>
        <v>-0.86602540378443849</v>
      </c>
      <c r="O25" s="4">
        <f t="shared" si="3"/>
        <v>-0.85635261555611686</v>
      </c>
      <c r="P25" s="4">
        <f t="shared" si="3"/>
        <v>-0.82755032497637127</v>
      </c>
      <c r="Q25" s="4">
        <f t="shared" si="3"/>
        <v>-0.78026192762240099</v>
      </c>
      <c r="R25" s="4">
        <f t="shared" si="3"/>
        <v>-0.71554376814936893</v>
      </c>
      <c r="S25" s="4">
        <f t="shared" si="3"/>
        <v>-0.63484154329636389</v>
      </c>
      <c r="T25" s="4">
        <f t="shared" si="3"/>
        <v>-0.53995800741018929</v>
      </c>
      <c r="U25" s="4">
        <f t="shared" si="3"/>
        <v>-0.43301270189221952</v>
      </c>
      <c r="V25" s="4">
        <f t="shared" si="3"/>
        <v>-0.31639460814592785</v>
      </c>
      <c r="W25" s="4">
        <f t="shared" si="3"/>
        <v>-0.19270878168000802</v>
      </c>
      <c r="X25" s="7">
        <f t="shared" si="3"/>
        <v>-6.4718159473032305E-2</v>
      </c>
    </row>
    <row r="26" spans="1:24" x14ac:dyDescent="0.25">
      <c r="A26" s="2">
        <v>19</v>
      </c>
      <c r="B26" s="4">
        <f>IF(19&lt;=N,(19-0.5)*dx,"")</f>
        <v>0.88095238095238093</v>
      </c>
      <c r="D26" s="7">
        <f t="shared" si="2"/>
        <v>-6.9564282353326928E-2</v>
      </c>
      <c r="E26" s="4">
        <f t="shared" si="2"/>
        <v>-0.20713889594372376</v>
      </c>
      <c r="F26" s="4">
        <f t="shared" si="2"/>
        <v>-0.34008636888545962</v>
      </c>
      <c r="G26" s="4">
        <f t="shared" si="2"/>
        <v>-0.46543687432210201</v>
      </c>
      <c r="H26" s="4">
        <f t="shared" si="2"/>
        <v>-0.58039028909767132</v>
      </c>
      <c r="I26" s="4">
        <f t="shared" si="2"/>
        <v>-0.68237874388088104</v>
      </c>
      <c r="J26" s="4">
        <f t="shared" si="2"/>
        <v>-0.76912398512272273</v>
      </c>
      <c r="K26" s="4">
        <f t="shared" si="2"/>
        <v>-0.83868826747604952</v>
      </c>
      <c r="L26" s="4">
        <f t="shared" si="2"/>
        <v>-0.88951763982460486</v>
      </c>
      <c r="M26" s="4">
        <f t="shared" si="2"/>
        <v>-0.92047665798313094</v>
      </c>
      <c r="N26" s="4">
        <f t="shared" si="3"/>
        <v>-0.93087374864420414</v>
      </c>
      <c r="O26" s="4">
        <f t="shared" si="3"/>
        <v>-0.92047665798313094</v>
      </c>
      <c r="P26" s="4">
        <f t="shared" si="3"/>
        <v>-0.88951763982460486</v>
      </c>
      <c r="Q26" s="4">
        <f t="shared" si="3"/>
        <v>-0.83868826747604963</v>
      </c>
      <c r="R26" s="4">
        <f t="shared" si="3"/>
        <v>-0.76912398512272262</v>
      </c>
      <c r="S26" s="4">
        <f t="shared" si="3"/>
        <v>-0.68237874388088127</v>
      </c>
      <c r="T26" s="4">
        <f t="shared" si="3"/>
        <v>-0.58039028909767143</v>
      </c>
      <c r="U26" s="4">
        <f t="shared" si="3"/>
        <v>-0.4654368743221024</v>
      </c>
      <c r="V26" s="4">
        <f t="shared" si="3"/>
        <v>-0.3400863688854599</v>
      </c>
      <c r="W26" s="4">
        <f t="shared" si="3"/>
        <v>-0.20713889594372428</v>
      </c>
      <c r="X26" s="7">
        <f t="shared" si="3"/>
        <v>-6.9564282353327331E-2</v>
      </c>
    </row>
    <row r="27" spans="1:24" x14ac:dyDescent="0.25">
      <c r="A27" s="2">
        <v>20</v>
      </c>
      <c r="B27" s="4">
        <f>IF(20&lt;=N,(20-0.5)*dx,"")</f>
        <v>0.92857142857142849</v>
      </c>
      <c r="D27" s="7">
        <f t="shared" si="2"/>
        <v>-7.2856454117364869E-2</v>
      </c>
      <c r="E27" s="4">
        <f t="shared" si="2"/>
        <v>-0.21694186955877903</v>
      </c>
      <c r="F27" s="4">
        <f t="shared" si="2"/>
        <v>-0.3561811621198982</v>
      </c>
      <c r="G27" s="4">
        <f t="shared" si="2"/>
        <v>-0.4874639560909117</v>
      </c>
      <c r="H27" s="4">
        <f t="shared" si="2"/>
        <v>-0.60785761079279388</v>
      </c>
      <c r="I27" s="4">
        <f t="shared" si="2"/>
        <v>-0.71467273092403016</v>
      </c>
      <c r="J27" s="4">
        <f t="shared" si="2"/>
        <v>-0.80552324320756175</v>
      </c>
      <c r="K27" s="4">
        <f t="shared" si="2"/>
        <v>-0.87837969732492649</v>
      </c>
      <c r="L27" s="4">
        <f t="shared" si="2"/>
        <v>-0.9316146004828092</v>
      </c>
      <c r="M27" s="4">
        <f t="shared" si="2"/>
        <v>-0.96403877291269213</v>
      </c>
      <c r="N27" s="4">
        <f t="shared" si="3"/>
        <v>-0.97492791218182351</v>
      </c>
      <c r="O27" s="4">
        <f t="shared" si="3"/>
        <v>-0.96403877291269213</v>
      </c>
      <c r="P27" s="4">
        <f t="shared" si="3"/>
        <v>-0.9316146004828092</v>
      </c>
      <c r="Q27" s="4">
        <f t="shared" si="3"/>
        <v>-0.8783796973249266</v>
      </c>
      <c r="R27" s="4">
        <f t="shared" si="3"/>
        <v>-0.80552324320756163</v>
      </c>
      <c r="S27" s="4">
        <f t="shared" si="3"/>
        <v>-0.71467273092403039</v>
      </c>
      <c r="T27" s="4">
        <f t="shared" si="3"/>
        <v>-0.60785761079279399</v>
      </c>
      <c r="U27" s="4">
        <f t="shared" si="3"/>
        <v>-0.48746395609091209</v>
      </c>
      <c r="V27" s="4">
        <f t="shared" si="3"/>
        <v>-0.35618116211989842</v>
      </c>
      <c r="W27" s="4">
        <f t="shared" si="3"/>
        <v>-0.21694186955877956</v>
      </c>
      <c r="X27" s="7">
        <f t="shared" si="3"/>
        <v>-7.2856454117365285E-2</v>
      </c>
    </row>
    <row r="28" spans="1:24" x14ac:dyDescent="0.25">
      <c r="A28" s="2">
        <v>21</v>
      </c>
      <c r="B28" s="4">
        <f>IF(21&lt;=N,(21-0.5)*dx,"")</f>
        <v>0.97619047619047616</v>
      </c>
      <c r="D28" s="7">
        <f t="shared" si="2"/>
        <v>-7.4521133088087207E-2</v>
      </c>
      <c r="E28" s="7">
        <f t="shared" si="2"/>
        <v>-0.22189872029353933</v>
      </c>
      <c r="F28" s="7">
        <f t="shared" si="2"/>
        <v>-0.36431945676423111</v>
      </c>
      <c r="G28" s="7">
        <f t="shared" si="2"/>
        <v>-0.49860189859059001</v>
      </c>
      <c r="H28" s="7">
        <f t="shared" si="2"/>
        <v>-0.6217463979172706</v>
      </c>
      <c r="I28" s="7">
        <f t="shared" si="2"/>
        <v>-0.73100211011947447</v>
      </c>
      <c r="J28" s="7">
        <f t="shared" si="2"/>
        <v>-0.82392844312623426</v>
      </c>
      <c r="K28" s="7">
        <f t="shared" si="2"/>
        <v>-0.89844957621432131</v>
      </c>
      <c r="L28" s="7">
        <f t="shared" si="2"/>
        <v>-0.95290083041301388</v>
      </c>
      <c r="M28" s="7">
        <f t="shared" si="2"/>
        <v>-0.98606585468150187</v>
      </c>
      <c r="N28" s="7">
        <f t="shared" si="3"/>
        <v>-0.99720379718118013</v>
      </c>
      <c r="O28" s="7">
        <f t="shared" si="3"/>
        <v>-0.98606585468150187</v>
      </c>
      <c r="P28" s="7">
        <f t="shared" si="3"/>
        <v>-0.95290083041301388</v>
      </c>
      <c r="Q28" s="7">
        <f t="shared" si="3"/>
        <v>-0.89844957621432142</v>
      </c>
      <c r="R28" s="7">
        <f t="shared" si="3"/>
        <v>-0.82392844312623414</v>
      </c>
      <c r="S28" s="7">
        <f t="shared" si="3"/>
        <v>-0.73100211011947469</v>
      </c>
      <c r="T28" s="7">
        <f t="shared" si="3"/>
        <v>-0.62174639791727071</v>
      </c>
      <c r="U28" s="7">
        <f t="shared" si="3"/>
        <v>-0.4986018985905904</v>
      </c>
      <c r="V28" s="7">
        <f t="shared" si="3"/>
        <v>-0.36431945676423139</v>
      </c>
      <c r="W28" s="7">
        <f t="shared" si="3"/>
        <v>-0.22189872029353988</v>
      </c>
      <c r="X28" s="7">
        <f t="shared" si="3"/>
        <v>-7.4521133088087638E-2</v>
      </c>
    </row>
    <row r="32" spans="1:24" ht="15.75" x14ac:dyDescent="0.25">
      <c r="A32" s="5" t="s">
        <v>52</v>
      </c>
    </row>
    <row r="33" spans="1:24" x14ac:dyDescent="0.25">
      <c r="A33" s="2" t="s">
        <v>48</v>
      </c>
      <c r="D33" s="2">
        <v>1</v>
      </c>
      <c r="E33" s="2">
        <v>2</v>
      </c>
      <c r="F33" s="2">
        <v>3</v>
      </c>
      <c r="G33" s="2">
        <v>4</v>
      </c>
      <c r="H33" s="2">
        <v>5</v>
      </c>
      <c r="I33" s="2">
        <v>6</v>
      </c>
      <c r="J33" s="2">
        <v>7</v>
      </c>
      <c r="K33" s="2">
        <v>8</v>
      </c>
      <c r="L33" s="2">
        <v>9</v>
      </c>
      <c r="M33" s="2">
        <v>10</v>
      </c>
      <c r="N33" s="2">
        <v>11</v>
      </c>
      <c r="O33" s="2">
        <v>12</v>
      </c>
      <c r="P33" s="2">
        <v>13</v>
      </c>
      <c r="Q33" s="2">
        <v>14</v>
      </c>
      <c r="R33" s="2">
        <v>15</v>
      </c>
      <c r="S33" s="2">
        <v>16</v>
      </c>
      <c r="T33" s="2">
        <v>17</v>
      </c>
      <c r="U33" s="2">
        <v>18</v>
      </c>
      <c r="V33" s="2">
        <v>19</v>
      </c>
      <c r="W33" s="2">
        <v>20</v>
      </c>
      <c r="X33" s="2">
        <v>21</v>
      </c>
    </row>
    <row r="34" spans="1:24" x14ac:dyDescent="0.25">
      <c r="A34" s="2" t="s">
        <v>49</v>
      </c>
      <c r="D34" s="4">
        <f>IF(1&lt;=N,(1-0.5)*dx,"")</f>
        <v>2.3809523809523808E-2</v>
      </c>
      <c r="E34" s="4">
        <f>IF(2&lt;=N,(2-0.5)*dx,"")</f>
        <v>7.1428571428571425E-2</v>
      </c>
      <c r="F34" s="4">
        <f>IF(3&lt;=N,(3-0.5)*dx,"")</f>
        <v>0.11904761904761904</v>
      </c>
      <c r="G34" s="4">
        <f>IF(4&lt;=N,(4-0.5)*dx,"")</f>
        <v>0.16666666666666666</v>
      </c>
      <c r="H34" s="4">
        <f>IF(5&lt;=N,(5-0.5)*dx,"")</f>
        <v>0.21428571428571427</v>
      </c>
      <c r="I34" s="4">
        <f>IF(6&lt;=N,(6-0.5)*dx,"")</f>
        <v>0.26190476190476186</v>
      </c>
      <c r="J34" s="4">
        <f>IF(7&lt;=N,(7-0.5)*dx,"")</f>
        <v>0.30952380952380953</v>
      </c>
      <c r="K34" s="4">
        <f>IF(8&lt;=N,(8-0.5)*dx,"")</f>
        <v>0.3571428571428571</v>
      </c>
      <c r="L34" s="4">
        <f>IF(9&lt;=N,(9-0.5)*dx,"")</f>
        <v>0.40476190476190477</v>
      </c>
      <c r="M34" s="4">
        <f>IF(10&lt;=N,(10-0.5)*dx,"")</f>
        <v>0.45238095238095233</v>
      </c>
      <c r="N34" s="4">
        <f>IF(11&lt;=N,(11-0.5)*dx,"")</f>
        <v>0.5</v>
      </c>
      <c r="O34" s="4">
        <f>IF(12&lt;=N,(12-0.5)*dx,"")</f>
        <v>0.54761904761904756</v>
      </c>
      <c r="P34" s="4">
        <f>IF(13&lt;=N,(13-0.5)*dx,"")</f>
        <v>0.59523809523809523</v>
      </c>
      <c r="Q34" s="4">
        <f>IF(14&lt;=N,(14-0.5)*dx,"")</f>
        <v>0.64285714285714279</v>
      </c>
      <c r="R34" s="4">
        <f>IF(15&lt;=N,(15-0.5)*dx,"")</f>
        <v>0.69047619047619047</v>
      </c>
      <c r="S34" s="4">
        <f>IF(16&lt;=N,(16-0.5)*dx,"")</f>
        <v>0.73809523809523803</v>
      </c>
      <c r="T34" s="4">
        <f>IF(17&lt;=N,(17-0.5)*dx,"")</f>
        <v>0.7857142857142857</v>
      </c>
      <c r="U34" s="4">
        <f>IF(18&lt;=N,(18-0.5)*dx,"")</f>
        <v>0.83333333333333326</v>
      </c>
      <c r="V34" s="4">
        <f>IF(19&lt;=N,(19-0.5)*dx,"")</f>
        <v>0.88095238095238093</v>
      </c>
      <c r="W34" s="4">
        <f>IF(20&lt;=N,(20-0.5)*dx,"")</f>
        <v>0.92857142857142849</v>
      </c>
      <c r="X34" s="4">
        <f>IF(21&lt;=N,(21-0.5)*dx,"")</f>
        <v>0.97619047619047616</v>
      </c>
    </row>
    <row r="35" spans="1:24" x14ac:dyDescent="0.25">
      <c r="A35" s="2" t="s">
        <v>50</v>
      </c>
      <c r="B35" s="2" t="s">
        <v>51</v>
      </c>
    </row>
    <row r="36" spans="1:24" x14ac:dyDescent="0.25">
      <c r="A36" s="2">
        <v>1</v>
      </c>
      <c r="B36" s="4">
        <f>IF(1&lt;=N,(1-0.5)*dx,"")</f>
        <v>2.3809523809523808E-2</v>
      </c>
      <c r="D36" s="7">
        <f t="shared" ref="D36:M45" si="4">IF(COUNT($B36,D$34)&lt;2,"",-U0*COS(PI()*D$34/L)*SIN(PI()*$B36/L))</f>
        <v>-7.4521133088087207E-2</v>
      </c>
      <c r="E36" s="7">
        <f t="shared" si="4"/>
        <v>-7.2856454117364869E-2</v>
      </c>
      <c r="F36" s="7">
        <f t="shared" si="4"/>
        <v>-6.9564282353326942E-2</v>
      </c>
      <c r="G36" s="7">
        <f t="shared" si="4"/>
        <v>-6.4718159473031944E-2</v>
      </c>
      <c r="H36" s="7">
        <f t="shared" si="4"/>
        <v>-5.8426339853648666E-2</v>
      </c>
      <c r="I36" s="7">
        <f t="shared" si="4"/>
        <v>-5.082937234855521E-2</v>
      </c>
      <c r="J36" s="7">
        <f t="shared" si="4"/>
        <v>-4.2096960658204403E-2</v>
      </c>
      <c r="K36" s="7">
        <f t="shared" si="4"/>
        <v>-3.2424172429882818E-2</v>
      </c>
      <c r="L36" s="7">
        <f t="shared" si="4"/>
        <v>-2.202708176880968E-2</v>
      </c>
      <c r="M36" s="7">
        <f t="shared" si="4"/>
        <v>-1.1137942499678283E-2</v>
      </c>
      <c r="N36" s="7">
        <f t="shared" ref="N36:X45" si="5">IF(COUNT($B36,N$34)&lt;2,"",-U0*COS(PI()*N$34/L)*SIN(PI()*$B36/L))</f>
        <v>-4.5777729346292119E-18</v>
      </c>
      <c r="O36" s="7">
        <f t="shared" si="5"/>
        <v>1.1137942499678258E-2</v>
      </c>
      <c r="P36" s="7">
        <f t="shared" si="5"/>
        <v>2.2027081768809669E-2</v>
      </c>
      <c r="Q36" s="7">
        <f t="shared" si="5"/>
        <v>3.2424172429882797E-2</v>
      </c>
      <c r="R36" s="7">
        <f t="shared" si="5"/>
        <v>4.209696065820441E-2</v>
      </c>
      <c r="S36" s="7">
        <f t="shared" si="5"/>
        <v>5.0829372348555189E-2</v>
      </c>
      <c r="T36" s="7">
        <f t="shared" si="5"/>
        <v>5.8426339853648666E-2</v>
      </c>
      <c r="U36" s="7">
        <f t="shared" si="5"/>
        <v>6.471815947303193E-2</v>
      </c>
      <c r="V36" s="7">
        <f t="shared" si="5"/>
        <v>6.9564282353326928E-2</v>
      </c>
      <c r="W36" s="7">
        <f t="shared" si="5"/>
        <v>7.2856454117364869E-2</v>
      </c>
      <c r="X36" s="7">
        <f t="shared" si="5"/>
        <v>7.4521133088087207E-2</v>
      </c>
    </row>
    <row r="37" spans="1:24" x14ac:dyDescent="0.25">
      <c r="A37" s="2">
        <v>2</v>
      </c>
      <c r="B37" s="4">
        <f>IF(2&lt;=N,(2-0.5)*dx,"")</f>
        <v>7.1428571428571425E-2</v>
      </c>
      <c r="D37" s="7">
        <f t="shared" si="4"/>
        <v>-0.22189872029353933</v>
      </c>
      <c r="E37" s="4">
        <f t="shared" si="4"/>
        <v>-0.21694186955877906</v>
      </c>
      <c r="F37" s="4">
        <f t="shared" si="4"/>
        <v>-0.20713889594372378</v>
      </c>
      <c r="G37" s="4">
        <f t="shared" si="4"/>
        <v>-0.1927087816800076</v>
      </c>
      <c r="H37" s="4">
        <f t="shared" si="4"/>
        <v>-0.17397387167523584</v>
      </c>
      <c r="I37" s="4">
        <f t="shared" si="4"/>
        <v>-0.15135267286040835</v>
      </c>
      <c r="J37" s="4">
        <f t="shared" si="4"/>
        <v>-0.12535050543664242</v>
      </c>
      <c r="K37" s="4">
        <f t="shared" si="4"/>
        <v>-9.6548214856896949E-2</v>
      </c>
      <c r="L37" s="4">
        <f t="shared" si="4"/>
        <v>-6.5589196698370766E-2</v>
      </c>
      <c r="M37" s="4">
        <f t="shared" si="4"/>
        <v>-3.316502426848799E-2</v>
      </c>
      <c r="N37" s="4">
        <f t="shared" si="5"/>
        <v>-1.3631058921070083E-17</v>
      </c>
      <c r="O37" s="4">
        <f t="shared" si="5"/>
        <v>3.3165024268487914E-2</v>
      </c>
      <c r="P37" s="4">
        <f t="shared" si="5"/>
        <v>6.5589196698370739E-2</v>
      </c>
      <c r="Q37" s="4">
        <f t="shared" si="5"/>
        <v>9.654821485689688E-2</v>
      </c>
      <c r="R37" s="4">
        <f t="shared" si="5"/>
        <v>0.12535050543664245</v>
      </c>
      <c r="S37" s="4">
        <f t="shared" si="5"/>
        <v>0.15135267286040827</v>
      </c>
      <c r="T37" s="4">
        <f t="shared" si="5"/>
        <v>0.17397387167523584</v>
      </c>
      <c r="U37" s="4">
        <f t="shared" si="5"/>
        <v>0.19270878168000755</v>
      </c>
      <c r="V37" s="4">
        <f t="shared" si="5"/>
        <v>0.20713889594372376</v>
      </c>
      <c r="W37" s="4">
        <f t="shared" si="5"/>
        <v>0.21694186955877903</v>
      </c>
      <c r="X37" s="7">
        <f t="shared" si="5"/>
        <v>0.22189872029353933</v>
      </c>
    </row>
    <row r="38" spans="1:24" x14ac:dyDescent="0.25">
      <c r="A38" s="2">
        <v>3</v>
      </c>
      <c r="B38" s="4">
        <f>IF(3&lt;=N,(3-0.5)*dx,"")</f>
        <v>0.11904761904761904</v>
      </c>
      <c r="D38" s="7">
        <f t="shared" si="4"/>
        <v>-0.36431945676423111</v>
      </c>
      <c r="E38" s="4">
        <f t="shared" si="4"/>
        <v>-0.3561811621198982</v>
      </c>
      <c r="F38" s="4">
        <f t="shared" si="4"/>
        <v>-0.34008636888545968</v>
      </c>
      <c r="G38" s="4">
        <f t="shared" si="4"/>
        <v>-0.31639460814592768</v>
      </c>
      <c r="H38" s="4">
        <f t="shared" si="4"/>
        <v>-0.28563511468676717</v>
      </c>
      <c r="I38" s="4">
        <f t="shared" si="4"/>
        <v>-0.24849500476332312</v>
      </c>
      <c r="J38" s="4">
        <f t="shared" si="4"/>
        <v>-0.20580392705910075</v>
      </c>
      <c r="K38" s="4">
        <f t="shared" si="4"/>
        <v>-0.15851552970513044</v>
      </c>
      <c r="L38" s="4">
        <f t="shared" si="4"/>
        <v>-0.1076861573565752</v>
      </c>
      <c r="M38" s="4">
        <f t="shared" si="4"/>
        <v>-5.4451254198692546E-2</v>
      </c>
      <c r="N38" s="4">
        <f t="shared" si="5"/>
        <v>-2.2379849575861066E-17</v>
      </c>
      <c r="O38" s="4">
        <f t="shared" si="5"/>
        <v>5.4451254198692421E-2</v>
      </c>
      <c r="P38" s="4">
        <f t="shared" si="5"/>
        <v>0.10768615735657516</v>
      </c>
      <c r="Q38" s="4">
        <f t="shared" si="5"/>
        <v>0.15851552970513036</v>
      </c>
      <c r="R38" s="4">
        <f t="shared" si="5"/>
        <v>0.20580392705910078</v>
      </c>
      <c r="S38" s="4">
        <f t="shared" si="5"/>
        <v>0.24849500476332301</v>
      </c>
      <c r="T38" s="4">
        <f t="shared" si="5"/>
        <v>0.28563511468676717</v>
      </c>
      <c r="U38" s="4">
        <f t="shared" si="5"/>
        <v>0.31639460814592757</v>
      </c>
      <c r="V38" s="4">
        <f t="shared" si="5"/>
        <v>0.34008636888545962</v>
      </c>
      <c r="W38" s="4">
        <f t="shared" si="5"/>
        <v>0.3561811621198982</v>
      </c>
      <c r="X38" s="7">
        <f t="shared" si="5"/>
        <v>0.36431945676423111</v>
      </c>
    </row>
    <row r="39" spans="1:24" x14ac:dyDescent="0.25">
      <c r="A39" s="2">
        <v>4</v>
      </c>
      <c r="B39" s="4">
        <f>IF(4&lt;=N,(4-0.5)*dx,"")</f>
        <v>0.16666666666666666</v>
      </c>
      <c r="D39" s="7">
        <f t="shared" si="4"/>
        <v>-0.49860189859059001</v>
      </c>
      <c r="E39" s="4">
        <f t="shared" si="4"/>
        <v>-0.48746395609091175</v>
      </c>
      <c r="F39" s="4">
        <f t="shared" si="4"/>
        <v>-0.46543687432210207</v>
      </c>
      <c r="G39" s="4">
        <f t="shared" si="4"/>
        <v>-0.4330127018922193</v>
      </c>
      <c r="H39" s="4">
        <f t="shared" si="4"/>
        <v>-0.39091574123401485</v>
      </c>
      <c r="I39" s="4">
        <f t="shared" si="4"/>
        <v>-0.34008636888545973</v>
      </c>
      <c r="J39" s="4">
        <f t="shared" si="4"/>
        <v>-0.28166002903181092</v>
      </c>
      <c r="K39" s="4">
        <f t="shared" si="4"/>
        <v>-0.21694186955877914</v>
      </c>
      <c r="L39" s="4">
        <f t="shared" si="4"/>
        <v>-0.14737758720545213</v>
      </c>
      <c r="M39" s="4">
        <f t="shared" si="4"/>
        <v>-7.4521133088087305E-2</v>
      </c>
      <c r="N39" s="4">
        <f t="shared" si="5"/>
        <v>-3.0628711372715494E-17</v>
      </c>
      <c r="O39" s="4">
        <f t="shared" si="5"/>
        <v>7.4521133088087138E-2</v>
      </c>
      <c r="P39" s="4">
        <f t="shared" si="5"/>
        <v>0.14737758720545208</v>
      </c>
      <c r="Q39" s="4">
        <f t="shared" si="5"/>
        <v>0.216941869558779</v>
      </c>
      <c r="R39" s="4">
        <f t="shared" si="5"/>
        <v>0.28166002903181098</v>
      </c>
      <c r="S39" s="4">
        <f t="shared" si="5"/>
        <v>0.34008636888545957</v>
      </c>
      <c r="T39" s="4">
        <f t="shared" si="5"/>
        <v>0.39091574123401485</v>
      </c>
      <c r="U39" s="4">
        <f t="shared" si="5"/>
        <v>0.43301270189221919</v>
      </c>
      <c r="V39" s="4">
        <f t="shared" si="5"/>
        <v>0.46543687432210201</v>
      </c>
      <c r="W39" s="4">
        <f t="shared" si="5"/>
        <v>0.4874639560909117</v>
      </c>
      <c r="X39" s="7">
        <f t="shared" si="5"/>
        <v>0.49860189859059001</v>
      </c>
    </row>
    <row r="40" spans="1:24" x14ac:dyDescent="0.25">
      <c r="A40" s="2">
        <v>5</v>
      </c>
      <c r="B40" s="4">
        <f>IF(5&lt;=N,(5-0.5)*dx,"")</f>
        <v>0.21428571428571427</v>
      </c>
      <c r="D40" s="7">
        <f t="shared" si="4"/>
        <v>-0.6217463979172706</v>
      </c>
      <c r="E40" s="4">
        <f t="shared" si="4"/>
        <v>-0.60785761079279388</v>
      </c>
      <c r="F40" s="4">
        <f t="shared" si="4"/>
        <v>-0.58039028909767143</v>
      </c>
      <c r="G40" s="4">
        <f t="shared" si="4"/>
        <v>-0.5399580074101894</v>
      </c>
      <c r="H40" s="4">
        <f t="shared" si="4"/>
        <v>-0.48746395609091175</v>
      </c>
      <c r="I40" s="4">
        <f t="shared" si="4"/>
        <v>-0.42408076550250295</v>
      </c>
      <c r="J40" s="4">
        <f t="shared" si="4"/>
        <v>-0.35122431138513788</v>
      </c>
      <c r="K40" s="4">
        <f t="shared" si="4"/>
        <v>-0.27052208653213289</v>
      </c>
      <c r="L40" s="4">
        <f t="shared" si="4"/>
        <v>-0.18377684529029117</v>
      </c>
      <c r="M40" s="4">
        <f t="shared" si="4"/>
        <v>-9.2926333006759745E-2</v>
      </c>
      <c r="N40" s="4">
        <f t="shared" si="5"/>
        <v>-3.8193378369925447E-17</v>
      </c>
      <c r="O40" s="4">
        <f t="shared" si="5"/>
        <v>9.2926333006759537E-2</v>
      </c>
      <c r="P40" s="4">
        <f t="shared" si="5"/>
        <v>0.18377684529029109</v>
      </c>
      <c r="Q40" s="4">
        <f t="shared" si="5"/>
        <v>0.27052208653213267</v>
      </c>
      <c r="R40" s="4">
        <f t="shared" si="5"/>
        <v>0.35122431138513799</v>
      </c>
      <c r="S40" s="4">
        <f t="shared" si="5"/>
        <v>0.42408076550250273</v>
      </c>
      <c r="T40" s="4">
        <f t="shared" si="5"/>
        <v>0.48746395609091175</v>
      </c>
      <c r="U40" s="4">
        <f t="shared" si="5"/>
        <v>0.53995800741018918</v>
      </c>
      <c r="V40" s="4">
        <f t="shared" si="5"/>
        <v>0.58039028909767132</v>
      </c>
      <c r="W40" s="4">
        <f t="shared" si="5"/>
        <v>0.60785761079279388</v>
      </c>
      <c r="X40" s="7">
        <f t="shared" si="5"/>
        <v>0.6217463979172706</v>
      </c>
    </row>
    <row r="41" spans="1:24" x14ac:dyDescent="0.25">
      <c r="A41" s="2">
        <v>6</v>
      </c>
      <c r="B41" s="4">
        <f>IF(6&lt;=N,(6-0.5)*dx,"")</f>
        <v>0.26190476190476186</v>
      </c>
      <c r="D41" s="7">
        <f t="shared" si="4"/>
        <v>-0.73100211011947447</v>
      </c>
      <c r="E41" s="4">
        <f t="shared" si="4"/>
        <v>-0.71467273092403028</v>
      </c>
      <c r="F41" s="4">
        <f t="shared" si="4"/>
        <v>-0.68237874388088104</v>
      </c>
      <c r="G41" s="4">
        <f t="shared" si="4"/>
        <v>-0.63484154329636389</v>
      </c>
      <c r="H41" s="4">
        <f t="shared" si="4"/>
        <v>-0.57312303167867718</v>
      </c>
      <c r="I41" s="4">
        <f t="shared" si="4"/>
        <v>-0.49860189859059012</v>
      </c>
      <c r="J41" s="4">
        <f t="shared" si="4"/>
        <v>-0.41294282300282448</v>
      </c>
      <c r="K41" s="4">
        <f t="shared" si="4"/>
        <v>-0.31805928711665016</v>
      </c>
      <c r="L41" s="4">
        <f t="shared" si="4"/>
        <v>-0.21607083233344032</v>
      </c>
      <c r="M41" s="4">
        <f t="shared" si="4"/>
        <v>-0.10925571220220401</v>
      </c>
      <c r="N41" s="4">
        <f t="shared" si="5"/>
        <v>-4.4904868407009169E-17</v>
      </c>
      <c r="O41" s="4">
        <f t="shared" si="5"/>
        <v>0.10925571220220377</v>
      </c>
      <c r="P41" s="4">
        <f t="shared" si="5"/>
        <v>0.21607083233344024</v>
      </c>
      <c r="Q41" s="4">
        <f t="shared" si="5"/>
        <v>0.31805928711664994</v>
      </c>
      <c r="R41" s="4">
        <f t="shared" si="5"/>
        <v>0.41294282300282453</v>
      </c>
      <c r="S41" s="4">
        <f t="shared" si="5"/>
        <v>0.4986018985905899</v>
      </c>
      <c r="T41" s="4">
        <f t="shared" si="5"/>
        <v>0.57312303167867718</v>
      </c>
      <c r="U41" s="4">
        <f t="shared" si="5"/>
        <v>0.63484154329636366</v>
      </c>
      <c r="V41" s="4">
        <f t="shared" si="5"/>
        <v>0.68237874388088104</v>
      </c>
      <c r="W41" s="4">
        <f t="shared" si="5"/>
        <v>0.71467273092403016</v>
      </c>
      <c r="X41" s="7">
        <f t="shared" si="5"/>
        <v>0.73100211011947447</v>
      </c>
    </row>
    <row r="42" spans="1:24" x14ac:dyDescent="0.25">
      <c r="A42" s="2">
        <v>7</v>
      </c>
      <c r="B42" s="4">
        <f>IF(7&lt;=N,(7-0.5)*dx,"")</f>
        <v>0.30952380952380953</v>
      </c>
      <c r="D42" s="7">
        <f t="shared" si="4"/>
        <v>-0.82392844312623426</v>
      </c>
      <c r="E42" s="4">
        <f t="shared" si="4"/>
        <v>-0.80552324320756186</v>
      </c>
      <c r="F42" s="4">
        <f t="shared" si="4"/>
        <v>-0.76912398512272284</v>
      </c>
      <c r="G42" s="4">
        <f t="shared" si="4"/>
        <v>-0.71554376814936926</v>
      </c>
      <c r="H42" s="4">
        <f t="shared" si="4"/>
        <v>-0.64597948579604225</v>
      </c>
      <c r="I42" s="4">
        <f t="shared" si="4"/>
        <v>-0.56198508917899925</v>
      </c>
      <c r="J42" s="4">
        <f t="shared" si="4"/>
        <v>-0.46543687432210207</v>
      </c>
      <c r="K42" s="4">
        <f t="shared" si="4"/>
        <v>-0.3584915688041323</v>
      </c>
      <c r="L42" s="4">
        <f t="shared" si="4"/>
        <v>-0.24353815402856288</v>
      </c>
      <c r="M42" s="4">
        <f t="shared" si="4"/>
        <v>-0.1231444993266808</v>
      </c>
      <c r="N42" s="4">
        <f t="shared" si="5"/>
        <v>-5.0613257886941657E-17</v>
      </c>
      <c r="O42" s="4">
        <f t="shared" si="5"/>
        <v>0.12314449932668052</v>
      </c>
      <c r="P42" s="4">
        <f t="shared" si="5"/>
        <v>0.2435381540285628</v>
      </c>
      <c r="Q42" s="4">
        <f t="shared" si="5"/>
        <v>0.35849156880413208</v>
      </c>
      <c r="R42" s="4">
        <f t="shared" si="5"/>
        <v>0.46543687432210218</v>
      </c>
      <c r="S42" s="4">
        <f t="shared" si="5"/>
        <v>0.56198508917899892</v>
      </c>
      <c r="T42" s="4">
        <f t="shared" si="5"/>
        <v>0.64597948579604225</v>
      </c>
      <c r="U42" s="4">
        <f t="shared" si="5"/>
        <v>0.71554376814936904</v>
      </c>
      <c r="V42" s="4">
        <f t="shared" si="5"/>
        <v>0.76912398512272273</v>
      </c>
      <c r="W42" s="4">
        <f t="shared" si="5"/>
        <v>0.80552324320756175</v>
      </c>
      <c r="X42" s="7">
        <f t="shared" si="5"/>
        <v>0.82392844312623426</v>
      </c>
    </row>
    <row r="43" spans="1:24" x14ac:dyDescent="0.25">
      <c r="A43" s="2">
        <v>8</v>
      </c>
      <c r="B43" s="4">
        <f>IF(8&lt;=N,(8-0.5)*dx,"")</f>
        <v>0.3571428571428571</v>
      </c>
      <c r="D43" s="7">
        <f t="shared" si="4"/>
        <v>-0.89844957621432131</v>
      </c>
      <c r="E43" s="4">
        <f t="shared" si="4"/>
        <v>-0.8783796973249266</v>
      </c>
      <c r="F43" s="4">
        <f t="shared" si="4"/>
        <v>-0.83868826747604963</v>
      </c>
      <c r="G43" s="4">
        <f t="shared" si="4"/>
        <v>-0.7802619276224011</v>
      </c>
      <c r="H43" s="4">
        <f t="shared" si="4"/>
        <v>-0.70440582564969079</v>
      </c>
      <c r="I43" s="4">
        <f t="shared" si="4"/>
        <v>-0.61281446152755437</v>
      </c>
      <c r="J43" s="4">
        <f t="shared" si="4"/>
        <v>-0.50753383498030646</v>
      </c>
      <c r="K43" s="4">
        <f t="shared" si="4"/>
        <v>-0.39091574123401507</v>
      </c>
      <c r="L43" s="4">
        <f t="shared" si="4"/>
        <v>-0.26556523579737251</v>
      </c>
      <c r="M43" s="4">
        <f t="shared" si="4"/>
        <v>-0.13428244182635907</v>
      </c>
      <c r="N43" s="4">
        <f t="shared" si="5"/>
        <v>-5.5191030821570865E-17</v>
      </c>
      <c r="O43" s="4">
        <f t="shared" si="5"/>
        <v>0.13428244182635876</v>
      </c>
      <c r="P43" s="4">
        <f t="shared" si="5"/>
        <v>0.26556523579737246</v>
      </c>
      <c r="Q43" s="4">
        <f t="shared" si="5"/>
        <v>0.39091574123401479</v>
      </c>
      <c r="R43" s="4">
        <f t="shared" si="5"/>
        <v>0.50753383498030658</v>
      </c>
      <c r="S43" s="4">
        <f t="shared" si="5"/>
        <v>0.61281446152755403</v>
      </c>
      <c r="T43" s="4">
        <f t="shared" si="5"/>
        <v>0.70440582564969079</v>
      </c>
      <c r="U43" s="4">
        <f t="shared" si="5"/>
        <v>0.78026192762240087</v>
      </c>
      <c r="V43" s="4">
        <f t="shared" si="5"/>
        <v>0.83868826747604952</v>
      </c>
      <c r="W43" s="4">
        <f t="shared" si="5"/>
        <v>0.87837969732492649</v>
      </c>
      <c r="X43" s="7">
        <f t="shared" si="5"/>
        <v>0.89844957621432131</v>
      </c>
    </row>
    <row r="44" spans="1:24" x14ac:dyDescent="0.25">
      <c r="A44" s="2">
        <v>9</v>
      </c>
      <c r="B44" s="4">
        <f>IF(9&lt;=N,(9-0.5)*dx,"")</f>
        <v>0.40476190476190477</v>
      </c>
      <c r="D44" s="7">
        <f t="shared" si="4"/>
        <v>-0.95290083041301388</v>
      </c>
      <c r="E44" s="4">
        <f t="shared" si="4"/>
        <v>-0.93161460048280931</v>
      </c>
      <c r="F44" s="4">
        <f t="shared" si="4"/>
        <v>-0.88951763982460497</v>
      </c>
      <c r="G44" s="4">
        <f t="shared" si="4"/>
        <v>-0.82755032497637149</v>
      </c>
      <c r="H44" s="4">
        <f t="shared" si="4"/>
        <v>-0.7470969033539131</v>
      </c>
      <c r="I44" s="4">
        <f t="shared" si="4"/>
        <v>-0.64995457145099855</v>
      </c>
      <c r="J44" s="4">
        <f t="shared" si="4"/>
        <v>-0.53829332843946687</v>
      </c>
      <c r="K44" s="4">
        <f t="shared" si="4"/>
        <v>-0.41460750197354712</v>
      </c>
      <c r="L44" s="4">
        <f t="shared" si="4"/>
        <v>-0.28166002903181109</v>
      </c>
      <c r="M44" s="4">
        <f t="shared" si="4"/>
        <v>-0.14242073647069201</v>
      </c>
      <c r="N44" s="4">
        <f t="shared" si="5"/>
        <v>-5.8535927328079258E-17</v>
      </c>
      <c r="O44" s="4">
        <f t="shared" si="5"/>
        <v>0.1424207364706917</v>
      </c>
      <c r="P44" s="4">
        <f t="shared" si="5"/>
        <v>0.28166002903181098</v>
      </c>
      <c r="Q44" s="4">
        <f t="shared" si="5"/>
        <v>0.41460750197354684</v>
      </c>
      <c r="R44" s="4">
        <f t="shared" si="5"/>
        <v>0.53829332843946698</v>
      </c>
      <c r="S44" s="4">
        <f t="shared" si="5"/>
        <v>0.64995457145099822</v>
      </c>
      <c r="T44" s="4">
        <f t="shared" si="5"/>
        <v>0.7470969033539131</v>
      </c>
      <c r="U44" s="4">
        <f t="shared" si="5"/>
        <v>0.82755032497637127</v>
      </c>
      <c r="V44" s="4">
        <f t="shared" si="5"/>
        <v>0.88951763982460486</v>
      </c>
      <c r="W44" s="4">
        <f t="shared" si="5"/>
        <v>0.9316146004828092</v>
      </c>
      <c r="X44" s="7">
        <f t="shared" si="5"/>
        <v>0.95290083041301388</v>
      </c>
    </row>
    <row r="45" spans="1:24" x14ac:dyDescent="0.25">
      <c r="A45" s="2">
        <v>10</v>
      </c>
      <c r="B45" s="4">
        <f>IF(10&lt;=N,(10-0.5)*dx,"")</f>
        <v>0.45238095238095233</v>
      </c>
      <c r="D45" s="7">
        <f t="shared" si="4"/>
        <v>-0.98606585468150187</v>
      </c>
      <c r="E45" s="4">
        <f t="shared" si="4"/>
        <v>-0.96403877291269224</v>
      </c>
      <c r="F45" s="4">
        <f t="shared" si="4"/>
        <v>-0.92047665798313105</v>
      </c>
      <c r="G45" s="4">
        <f t="shared" si="4"/>
        <v>-0.85635261555611708</v>
      </c>
      <c r="H45" s="4">
        <f t="shared" si="4"/>
        <v>-0.77309907077767903</v>
      </c>
      <c r="I45" s="4">
        <f t="shared" si="4"/>
        <v>-0.67257577026582605</v>
      </c>
      <c r="J45" s="4">
        <f t="shared" si="4"/>
        <v>-0.55702823844423865</v>
      </c>
      <c r="K45" s="4">
        <f t="shared" si="4"/>
        <v>-0.42903761623726333</v>
      </c>
      <c r="L45" s="4">
        <f t="shared" si="4"/>
        <v>-0.29146300264686636</v>
      </c>
      <c r="M45" s="4">
        <f t="shared" si="4"/>
        <v>-0.1473775872054523</v>
      </c>
      <c r="N45" s="4">
        <f t="shared" si="5"/>
        <v>-6.057322794578652E-17</v>
      </c>
      <c r="O45" s="4">
        <f t="shared" si="5"/>
        <v>0.14737758720545197</v>
      </c>
      <c r="P45" s="4">
        <f t="shared" si="5"/>
        <v>0.29146300264686625</v>
      </c>
      <c r="Q45" s="4">
        <f t="shared" si="5"/>
        <v>0.42903761623726305</v>
      </c>
      <c r="R45" s="4">
        <f t="shared" si="5"/>
        <v>0.55702823844423877</v>
      </c>
      <c r="S45" s="4">
        <f t="shared" si="5"/>
        <v>0.67257577026582571</v>
      </c>
      <c r="T45" s="4">
        <f t="shared" si="5"/>
        <v>0.77309907077767903</v>
      </c>
      <c r="U45" s="4">
        <f t="shared" si="5"/>
        <v>0.85635261555611686</v>
      </c>
      <c r="V45" s="4">
        <f t="shared" si="5"/>
        <v>0.92047665798313094</v>
      </c>
      <c r="W45" s="4">
        <f t="shared" si="5"/>
        <v>0.96403877291269213</v>
      </c>
      <c r="X45" s="7">
        <f t="shared" si="5"/>
        <v>0.98606585468150187</v>
      </c>
    </row>
    <row r="46" spans="1:24" x14ac:dyDescent="0.25">
      <c r="A46" s="2">
        <v>11</v>
      </c>
      <c r="B46" s="4">
        <f>IF(11&lt;=N,(11-0.5)*dx,"")</f>
        <v>0.5</v>
      </c>
      <c r="D46" s="7">
        <f t="shared" ref="D46:M56" si="6">IF(COUNT($B46,D$34)&lt;2,"",-U0*COS(PI()*D$34/L)*SIN(PI()*$B46/L))</f>
        <v>-0.99720379718118013</v>
      </c>
      <c r="E46" s="4">
        <f t="shared" si="6"/>
        <v>-0.97492791218182362</v>
      </c>
      <c r="F46" s="4">
        <f t="shared" si="6"/>
        <v>-0.93087374864420425</v>
      </c>
      <c r="G46" s="4">
        <f t="shared" si="6"/>
        <v>-0.86602540378443871</v>
      </c>
      <c r="H46" s="4">
        <f t="shared" si="6"/>
        <v>-0.7818314824680298</v>
      </c>
      <c r="I46" s="4">
        <f t="shared" si="6"/>
        <v>-0.68017273777091958</v>
      </c>
      <c r="J46" s="4">
        <f t="shared" si="6"/>
        <v>-0.56332005806362195</v>
      </c>
      <c r="K46" s="4">
        <f t="shared" si="6"/>
        <v>-0.43388373911755834</v>
      </c>
      <c r="L46" s="4">
        <f t="shared" si="6"/>
        <v>-0.29475517441090432</v>
      </c>
      <c r="M46" s="4">
        <f t="shared" si="6"/>
        <v>-0.14904226617617464</v>
      </c>
      <c r="N46" s="4">
        <f t="shared" ref="N46:X56" si="7">IF(COUNT($B46,N$34)&lt;2,"",-U0*COS(PI()*N$34/L)*SIN(PI()*$B46/L))</f>
        <v>-6.1257422745431001E-17</v>
      </c>
      <c r="O46" s="4">
        <f t="shared" si="7"/>
        <v>0.1490422661761743</v>
      </c>
      <c r="P46" s="4">
        <f t="shared" si="7"/>
        <v>0.29475517441090421</v>
      </c>
      <c r="Q46" s="4">
        <f t="shared" si="7"/>
        <v>0.43388373911755806</v>
      </c>
      <c r="R46" s="4">
        <f t="shared" si="7"/>
        <v>0.56332005806362206</v>
      </c>
      <c r="S46" s="4">
        <f t="shared" si="7"/>
        <v>0.68017273777091924</v>
      </c>
      <c r="T46" s="4">
        <f t="shared" si="7"/>
        <v>0.7818314824680298</v>
      </c>
      <c r="U46" s="4">
        <f t="shared" si="7"/>
        <v>0.86602540378443849</v>
      </c>
      <c r="V46" s="4">
        <f t="shared" si="7"/>
        <v>0.93087374864420414</v>
      </c>
      <c r="W46" s="4">
        <f t="shared" si="7"/>
        <v>0.97492791218182351</v>
      </c>
      <c r="X46" s="7">
        <f t="shared" si="7"/>
        <v>0.99720379718118013</v>
      </c>
    </row>
    <row r="47" spans="1:24" x14ac:dyDescent="0.25">
      <c r="A47" s="2">
        <v>12</v>
      </c>
      <c r="B47" s="4">
        <f>IF(12&lt;=N,(12-0.5)*dx,"")</f>
        <v>0.54761904761904756</v>
      </c>
      <c r="D47" s="7">
        <f t="shared" si="6"/>
        <v>-0.98606585468150187</v>
      </c>
      <c r="E47" s="4">
        <f t="shared" si="6"/>
        <v>-0.96403877291269224</v>
      </c>
      <c r="F47" s="4">
        <f t="shared" si="6"/>
        <v>-0.92047665798313105</v>
      </c>
      <c r="G47" s="4">
        <f t="shared" si="6"/>
        <v>-0.85635261555611708</v>
      </c>
      <c r="H47" s="4">
        <f t="shared" si="6"/>
        <v>-0.77309907077767903</v>
      </c>
      <c r="I47" s="4">
        <f t="shared" si="6"/>
        <v>-0.67257577026582605</v>
      </c>
      <c r="J47" s="4">
        <f t="shared" si="6"/>
        <v>-0.55702823844423865</v>
      </c>
      <c r="K47" s="4">
        <f t="shared" si="6"/>
        <v>-0.42903761623726333</v>
      </c>
      <c r="L47" s="4">
        <f t="shared" si="6"/>
        <v>-0.29146300264686636</v>
      </c>
      <c r="M47" s="4">
        <f t="shared" si="6"/>
        <v>-0.1473775872054523</v>
      </c>
      <c r="N47" s="4">
        <f t="shared" si="7"/>
        <v>-6.057322794578652E-17</v>
      </c>
      <c r="O47" s="4">
        <f t="shared" si="7"/>
        <v>0.14737758720545197</v>
      </c>
      <c r="P47" s="4">
        <f t="shared" si="7"/>
        <v>0.29146300264686625</v>
      </c>
      <c r="Q47" s="4">
        <f t="shared" si="7"/>
        <v>0.42903761623726305</v>
      </c>
      <c r="R47" s="4">
        <f t="shared" si="7"/>
        <v>0.55702823844423877</v>
      </c>
      <c r="S47" s="4">
        <f t="shared" si="7"/>
        <v>0.67257577026582571</v>
      </c>
      <c r="T47" s="4">
        <f t="shared" si="7"/>
        <v>0.77309907077767903</v>
      </c>
      <c r="U47" s="4">
        <f t="shared" si="7"/>
        <v>0.85635261555611686</v>
      </c>
      <c r="V47" s="4">
        <f t="shared" si="7"/>
        <v>0.92047665798313094</v>
      </c>
      <c r="W47" s="4">
        <f t="shared" si="7"/>
        <v>0.96403877291269213</v>
      </c>
      <c r="X47" s="7">
        <f t="shared" si="7"/>
        <v>0.98606585468150187</v>
      </c>
    </row>
    <row r="48" spans="1:24" x14ac:dyDescent="0.25">
      <c r="A48" s="2">
        <v>13</v>
      </c>
      <c r="B48" s="4">
        <f>IF(13&lt;=N,(13-0.5)*dx,"")</f>
        <v>0.59523809523809523</v>
      </c>
      <c r="D48" s="7">
        <f t="shared" si="6"/>
        <v>-0.95290083041301388</v>
      </c>
      <c r="E48" s="4">
        <f t="shared" si="6"/>
        <v>-0.93161460048280931</v>
      </c>
      <c r="F48" s="4">
        <f t="shared" si="6"/>
        <v>-0.88951763982460497</v>
      </c>
      <c r="G48" s="4">
        <f t="shared" si="6"/>
        <v>-0.82755032497637149</v>
      </c>
      <c r="H48" s="4">
        <f t="shared" si="6"/>
        <v>-0.7470969033539131</v>
      </c>
      <c r="I48" s="4">
        <f t="shared" si="6"/>
        <v>-0.64995457145099855</v>
      </c>
      <c r="J48" s="4">
        <f t="shared" si="6"/>
        <v>-0.53829332843946687</v>
      </c>
      <c r="K48" s="4">
        <f t="shared" si="6"/>
        <v>-0.41460750197354712</v>
      </c>
      <c r="L48" s="4">
        <f t="shared" si="6"/>
        <v>-0.28166002903181109</v>
      </c>
      <c r="M48" s="4">
        <f t="shared" si="6"/>
        <v>-0.14242073647069201</v>
      </c>
      <c r="N48" s="4">
        <f t="shared" si="7"/>
        <v>-5.8535927328079258E-17</v>
      </c>
      <c r="O48" s="4">
        <f t="shared" si="7"/>
        <v>0.1424207364706917</v>
      </c>
      <c r="P48" s="4">
        <f t="shared" si="7"/>
        <v>0.28166002903181098</v>
      </c>
      <c r="Q48" s="4">
        <f t="shared" si="7"/>
        <v>0.41460750197354684</v>
      </c>
      <c r="R48" s="4">
        <f t="shared" si="7"/>
        <v>0.53829332843946698</v>
      </c>
      <c r="S48" s="4">
        <f t="shared" si="7"/>
        <v>0.64995457145099822</v>
      </c>
      <c r="T48" s="4">
        <f t="shared" si="7"/>
        <v>0.7470969033539131</v>
      </c>
      <c r="U48" s="4">
        <f t="shared" si="7"/>
        <v>0.82755032497637127</v>
      </c>
      <c r="V48" s="4">
        <f t="shared" si="7"/>
        <v>0.88951763982460486</v>
      </c>
      <c r="W48" s="4">
        <f t="shared" si="7"/>
        <v>0.9316146004828092</v>
      </c>
      <c r="X48" s="7">
        <f t="shared" si="7"/>
        <v>0.95290083041301388</v>
      </c>
    </row>
    <row r="49" spans="1:24" x14ac:dyDescent="0.25">
      <c r="A49" s="2">
        <v>14</v>
      </c>
      <c r="B49" s="4">
        <f>IF(14&lt;=N,(14-0.5)*dx,"")</f>
        <v>0.64285714285714279</v>
      </c>
      <c r="D49" s="7">
        <f t="shared" si="6"/>
        <v>-0.89844957621432142</v>
      </c>
      <c r="E49" s="4">
        <f t="shared" si="6"/>
        <v>-0.87837969732492671</v>
      </c>
      <c r="F49" s="4">
        <f t="shared" si="6"/>
        <v>-0.83868826747604974</v>
      </c>
      <c r="G49" s="4">
        <f t="shared" si="6"/>
        <v>-0.78026192762240121</v>
      </c>
      <c r="H49" s="4">
        <f t="shared" si="6"/>
        <v>-0.7044058256496909</v>
      </c>
      <c r="I49" s="4">
        <f t="shared" si="6"/>
        <v>-0.61281446152755437</v>
      </c>
      <c r="J49" s="4">
        <f t="shared" si="6"/>
        <v>-0.50753383498030646</v>
      </c>
      <c r="K49" s="4">
        <f t="shared" si="6"/>
        <v>-0.39091574123401512</v>
      </c>
      <c r="L49" s="4">
        <f t="shared" si="6"/>
        <v>-0.26556523579737257</v>
      </c>
      <c r="M49" s="4">
        <f t="shared" si="6"/>
        <v>-0.13428244182635907</v>
      </c>
      <c r="N49" s="4">
        <f t="shared" si="7"/>
        <v>-5.5191030821570871E-17</v>
      </c>
      <c r="O49" s="4">
        <f t="shared" si="7"/>
        <v>0.13428244182635879</v>
      </c>
      <c r="P49" s="4">
        <f t="shared" si="7"/>
        <v>0.26556523579737246</v>
      </c>
      <c r="Q49" s="4">
        <f t="shared" si="7"/>
        <v>0.39091574123401485</v>
      </c>
      <c r="R49" s="4">
        <f t="shared" si="7"/>
        <v>0.50753383498030658</v>
      </c>
      <c r="S49" s="4">
        <f t="shared" si="7"/>
        <v>0.61281446152755414</v>
      </c>
      <c r="T49" s="4">
        <f t="shared" si="7"/>
        <v>0.7044058256496909</v>
      </c>
      <c r="U49" s="4">
        <f t="shared" si="7"/>
        <v>0.78026192762240099</v>
      </c>
      <c r="V49" s="4">
        <f t="shared" si="7"/>
        <v>0.83868826747604963</v>
      </c>
      <c r="W49" s="4">
        <f t="shared" si="7"/>
        <v>0.8783796973249266</v>
      </c>
      <c r="X49" s="7">
        <f t="shared" si="7"/>
        <v>0.89844957621432142</v>
      </c>
    </row>
    <row r="50" spans="1:24" x14ac:dyDescent="0.25">
      <c r="A50" s="2">
        <v>15</v>
      </c>
      <c r="B50" s="4">
        <f>IF(15&lt;=N,(15-0.5)*dx,"")</f>
        <v>0.69047619047619047</v>
      </c>
      <c r="D50" s="7">
        <f t="shared" si="6"/>
        <v>-0.82392844312623414</v>
      </c>
      <c r="E50" s="4">
        <f t="shared" si="6"/>
        <v>-0.80552324320756175</v>
      </c>
      <c r="F50" s="4">
        <f t="shared" si="6"/>
        <v>-0.76912398512272273</v>
      </c>
      <c r="G50" s="4">
        <f t="shared" si="6"/>
        <v>-0.71554376814936915</v>
      </c>
      <c r="H50" s="4">
        <f t="shared" si="6"/>
        <v>-0.64597948579604214</v>
      </c>
      <c r="I50" s="4">
        <f t="shared" si="6"/>
        <v>-0.56198508917899914</v>
      </c>
      <c r="J50" s="4">
        <f t="shared" si="6"/>
        <v>-0.46543687432210201</v>
      </c>
      <c r="K50" s="4">
        <f t="shared" si="6"/>
        <v>-0.35849156880413224</v>
      </c>
      <c r="L50" s="4">
        <f t="shared" si="6"/>
        <v>-0.24353815402856285</v>
      </c>
      <c r="M50" s="4">
        <f t="shared" si="6"/>
        <v>-0.12314449932668078</v>
      </c>
      <c r="N50" s="4">
        <f t="shared" si="7"/>
        <v>-5.0613257886941651E-17</v>
      </c>
      <c r="O50" s="4">
        <f t="shared" si="7"/>
        <v>0.12314449932668051</v>
      </c>
      <c r="P50" s="4">
        <f t="shared" si="7"/>
        <v>0.24353815402856277</v>
      </c>
      <c r="Q50" s="4">
        <f t="shared" si="7"/>
        <v>0.35849156880413202</v>
      </c>
      <c r="R50" s="4">
        <f t="shared" si="7"/>
        <v>0.46543687432210212</v>
      </c>
      <c r="S50" s="4">
        <f t="shared" si="7"/>
        <v>0.56198508917899881</v>
      </c>
      <c r="T50" s="4">
        <f t="shared" si="7"/>
        <v>0.64597948579604214</v>
      </c>
      <c r="U50" s="4">
        <f t="shared" si="7"/>
        <v>0.71554376814936893</v>
      </c>
      <c r="V50" s="4">
        <f t="shared" si="7"/>
        <v>0.76912398512272262</v>
      </c>
      <c r="W50" s="4">
        <f t="shared" si="7"/>
        <v>0.80552324320756163</v>
      </c>
      <c r="X50" s="7">
        <f t="shared" si="7"/>
        <v>0.82392844312623414</v>
      </c>
    </row>
    <row r="51" spans="1:24" x14ac:dyDescent="0.25">
      <c r="A51" s="2">
        <v>16</v>
      </c>
      <c r="B51" s="4">
        <f>IF(16&lt;=N,(16-0.5)*dx,"")</f>
        <v>0.73809523809523803</v>
      </c>
      <c r="D51" s="7">
        <f t="shared" si="6"/>
        <v>-0.73100211011947469</v>
      </c>
      <c r="E51" s="4">
        <f t="shared" si="6"/>
        <v>-0.7146727309240305</v>
      </c>
      <c r="F51" s="4">
        <f t="shared" si="6"/>
        <v>-0.68237874388088127</v>
      </c>
      <c r="G51" s="4">
        <f t="shared" si="6"/>
        <v>-0.63484154329636411</v>
      </c>
      <c r="H51" s="4">
        <f t="shared" si="6"/>
        <v>-0.5731230316786774</v>
      </c>
      <c r="I51" s="4">
        <f t="shared" si="6"/>
        <v>-0.49860189859059029</v>
      </c>
      <c r="J51" s="4">
        <f t="shared" si="6"/>
        <v>-0.41294282300282459</v>
      </c>
      <c r="K51" s="4">
        <f t="shared" si="6"/>
        <v>-0.31805928711665021</v>
      </c>
      <c r="L51" s="4">
        <f t="shared" si="6"/>
        <v>-0.21607083233344038</v>
      </c>
      <c r="M51" s="4">
        <f t="shared" si="6"/>
        <v>-0.10925571220220405</v>
      </c>
      <c r="N51" s="4">
        <f t="shared" si="7"/>
        <v>-4.4904868407009181E-17</v>
      </c>
      <c r="O51" s="4">
        <f t="shared" si="7"/>
        <v>0.1092557122022038</v>
      </c>
      <c r="P51" s="4">
        <f t="shared" si="7"/>
        <v>0.21607083233344029</v>
      </c>
      <c r="Q51" s="4">
        <f t="shared" si="7"/>
        <v>0.31805928711665005</v>
      </c>
      <c r="R51" s="4">
        <f t="shared" si="7"/>
        <v>0.4129428230028247</v>
      </c>
      <c r="S51" s="4">
        <f t="shared" si="7"/>
        <v>0.49860189859059006</v>
      </c>
      <c r="T51" s="4">
        <f t="shared" si="7"/>
        <v>0.5731230316786774</v>
      </c>
      <c r="U51" s="4">
        <f t="shared" si="7"/>
        <v>0.63484154329636389</v>
      </c>
      <c r="V51" s="4">
        <f t="shared" si="7"/>
        <v>0.68237874388088127</v>
      </c>
      <c r="W51" s="4">
        <f t="shared" si="7"/>
        <v>0.71467273092403039</v>
      </c>
      <c r="X51" s="7">
        <f t="shared" si="7"/>
        <v>0.73100211011947469</v>
      </c>
    </row>
    <row r="52" spans="1:24" x14ac:dyDescent="0.25">
      <c r="A52" s="2">
        <v>17</v>
      </c>
      <c r="B52" s="4">
        <f>IF(17&lt;=N,(17-0.5)*dx,"")</f>
        <v>0.7857142857142857</v>
      </c>
      <c r="D52" s="7">
        <f t="shared" si="6"/>
        <v>-0.62174639791727071</v>
      </c>
      <c r="E52" s="4">
        <f t="shared" si="6"/>
        <v>-0.60785761079279399</v>
      </c>
      <c r="F52" s="4">
        <f t="shared" si="6"/>
        <v>-0.58039028909767143</v>
      </c>
      <c r="G52" s="4">
        <f t="shared" si="6"/>
        <v>-0.5399580074101894</v>
      </c>
      <c r="H52" s="4">
        <f t="shared" si="6"/>
        <v>-0.48746395609091187</v>
      </c>
      <c r="I52" s="4">
        <f t="shared" si="6"/>
        <v>-0.42408076550250301</v>
      </c>
      <c r="J52" s="4">
        <f t="shared" si="6"/>
        <v>-0.35122431138513793</v>
      </c>
      <c r="K52" s="4">
        <f t="shared" si="6"/>
        <v>-0.27052208653213289</v>
      </c>
      <c r="L52" s="4">
        <f t="shared" si="6"/>
        <v>-0.1837768452902912</v>
      </c>
      <c r="M52" s="4">
        <f t="shared" si="6"/>
        <v>-9.2926333006759759E-2</v>
      </c>
      <c r="N52" s="4">
        <f t="shared" si="7"/>
        <v>-3.8193378369925454E-17</v>
      </c>
      <c r="O52" s="4">
        <f t="shared" si="7"/>
        <v>9.2926333006759551E-2</v>
      </c>
      <c r="P52" s="4">
        <f t="shared" si="7"/>
        <v>0.18377684529029112</v>
      </c>
      <c r="Q52" s="4">
        <f t="shared" si="7"/>
        <v>0.27052208653213272</v>
      </c>
      <c r="R52" s="4">
        <f t="shared" si="7"/>
        <v>0.35122431138513804</v>
      </c>
      <c r="S52" s="4">
        <f t="shared" si="7"/>
        <v>0.42408076550250279</v>
      </c>
      <c r="T52" s="4">
        <f t="shared" si="7"/>
        <v>0.48746395609091187</v>
      </c>
      <c r="U52" s="4">
        <f t="shared" si="7"/>
        <v>0.53995800741018929</v>
      </c>
      <c r="V52" s="4">
        <f t="shared" si="7"/>
        <v>0.58039028909767143</v>
      </c>
      <c r="W52" s="4">
        <f t="shared" si="7"/>
        <v>0.60785761079279399</v>
      </c>
      <c r="X52" s="7">
        <f t="shared" si="7"/>
        <v>0.62174639791727071</v>
      </c>
    </row>
    <row r="53" spans="1:24" x14ac:dyDescent="0.25">
      <c r="A53" s="2">
        <v>18</v>
      </c>
      <c r="B53" s="4">
        <f>IF(18&lt;=N,(18-0.5)*dx,"")</f>
        <v>0.83333333333333326</v>
      </c>
      <c r="D53" s="7">
        <f t="shared" si="6"/>
        <v>-0.4986018985905904</v>
      </c>
      <c r="E53" s="4">
        <f t="shared" si="6"/>
        <v>-0.48746395609091214</v>
      </c>
      <c r="F53" s="4">
        <f t="shared" si="6"/>
        <v>-0.46543687432210246</v>
      </c>
      <c r="G53" s="4">
        <f t="shared" si="6"/>
        <v>-0.43301270189221963</v>
      </c>
      <c r="H53" s="4">
        <f t="shared" si="6"/>
        <v>-0.39091574123401518</v>
      </c>
      <c r="I53" s="4">
        <f t="shared" si="6"/>
        <v>-0.34008636888546001</v>
      </c>
      <c r="J53" s="4">
        <f t="shared" si="6"/>
        <v>-0.28166002903181114</v>
      </c>
      <c r="K53" s="4">
        <f t="shared" si="6"/>
        <v>-0.21694186955877931</v>
      </c>
      <c r="L53" s="4">
        <f t="shared" si="6"/>
        <v>-0.14737758720545227</v>
      </c>
      <c r="M53" s="4">
        <f t="shared" si="6"/>
        <v>-7.4521133088087374E-2</v>
      </c>
      <c r="N53" s="4">
        <f t="shared" si="7"/>
        <v>-3.0628711372715519E-17</v>
      </c>
      <c r="O53" s="4">
        <f t="shared" si="7"/>
        <v>7.4521133088087207E-2</v>
      </c>
      <c r="P53" s="4">
        <f t="shared" si="7"/>
        <v>0.14737758720545222</v>
      </c>
      <c r="Q53" s="4">
        <f t="shared" si="7"/>
        <v>0.21694186955877917</v>
      </c>
      <c r="R53" s="4">
        <f t="shared" si="7"/>
        <v>0.2816600290318112</v>
      </c>
      <c r="S53" s="4">
        <f t="shared" si="7"/>
        <v>0.34008636888545984</v>
      </c>
      <c r="T53" s="4">
        <f t="shared" si="7"/>
        <v>0.39091574123401518</v>
      </c>
      <c r="U53" s="4">
        <f t="shared" si="7"/>
        <v>0.43301270189221952</v>
      </c>
      <c r="V53" s="4">
        <f t="shared" si="7"/>
        <v>0.4654368743221024</v>
      </c>
      <c r="W53" s="4">
        <f t="shared" si="7"/>
        <v>0.48746395609091209</v>
      </c>
      <c r="X53" s="7">
        <f t="shared" si="7"/>
        <v>0.4986018985905904</v>
      </c>
    </row>
    <row r="54" spans="1:24" x14ac:dyDescent="0.25">
      <c r="A54" s="2">
        <v>19</v>
      </c>
      <c r="B54" s="4">
        <f>IF(19&lt;=N,(19-0.5)*dx,"")</f>
        <v>0.88095238095238093</v>
      </c>
      <c r="D54" s="7">
        <f t="shared" si="6"/>
        <v>-0.36431945676423139</v>
      </c>
      <c r="E54" s="4">
        <f t="shared" si="6"/>
        <v>-0.35618116211989848</v>
      </c>
      <c r="F54" s="4">
        <f t="shared" si="6"/>
        <v>-0.3400863688854599</v>
      </c>
      <c r="G54" s="4">
        <f t="shared" si="6"/>
        <v>-0.3163946081459279</v>
      </c>
      <c r="H54" s="4">
        <f t="shared" si="6"/>
        <v>-0.28563511468676739</v>
      </c>
      <c r="I54" s="4">
        <f t="shared" si="6"/>
        <v>-0.24849500476332331</v>
      </c>
      <c r="J54" s="4">
        <f t="shared" si="6"/>
        <v>-0.20580392705910089</v>
      </c>
      <c r="K54" s="4">
        <f t="shared" si="6"/>
        <v>-0.15851552970513058</v>
      </c>
      <c r="L54" s="4">
        <f t="shared" si="6"/>
        <v>-0.10768615735657527</v>
      </c>
      <c r="M54" s="4">
        <f t="shared" si="6"/>
        <v>-5.4451254198692588E-2</v>
      </c>
      <c r="N54" s="4">
        <f t="shared" si="7"/>
        <v>-2.2379849575861082E-17</v>
      </c>
      <c r="O54" s="4">
        <f t="shared" si="7"/>
        <v>5.4451254198692463E-2</v>
      </c>
      <c r="P54" s="4">
        <f t="shared" si="7"/>
        <v>0.10768615735657525</v>
      </c>
      <c r="Q54" s="4">
        <f t="shared" si="7"/>
        <v>0.15851552970513047</v>
      </c>
      <c r="R54" s="4">
        <f t="shared" si="7"/>
        <v>0.20580392705910094</v>
      </c>
      <c r="S54" s="4">
        <f t="shared" si="7"/>
        <v>0.24849500476332317</v>
      </c>
      <c r="T54" s="4">
        <f t="shared" si="7"/>
        <v>0.28563511468676739</v>
      </c>
      <c r="U54" s="4">
        <f t="shared" si="7"/>
        <v>0.31639460814592785</v>
      </c>
      <c r="V54" s="4">
        <f t="shared" si="7"/>
        <v>0.3400863688854599</v>
      </c>
      <c r="W54" s="4">
        <f t="shared" si="7"/>
        <v>0.35618116211989842</v>
      </c>
      <c r="X54" s="7">
        <f t="shared" si="7"/>
        <v>0.36431945676423139</v>
      </c>
    </row>
    <row r="55" spans="1:24" x14ac:dyDescent="0.25">
      <c r="A55" s="2">
        <v>20</v>
      </c>
      <c r="B55" s="4">
        <f>IF(20&lt;=N,(20-0.5)*dx,"")</f>
        <v>0.92857142857142849</v>
      </c>
      <c r="D55" s="7">
        <f t="shared" si="6"/>
        <v>-0.22189872029353988</v>
      </c>
      <c r="E55" s="4">
        <f t="shared" si="6"/>
        <v>-0.21694186955877959</v>
      </c>
      <c r="F55" s="4">
        <f t="shared" si="6"/>
        <v>-0.20713889594372428</v>
      </c>
      <c r="G55" s="4">
        <f t="shared" si="6"/>
        <v>-0.19270878168000807</v>
      </c>
      <c r="H55" s="4">
        <f t="shared" si="6"/>
        <v>-0.17397387167523626</v>
      </c>
      <c r="I55" s="4">
        <f t="shared" si="6"/>
        <v>-0.15135267286040871</v>
      </c>
      <c r="J55" s="4">
        <f t="shared" si="6"/>
        <v>-0.12535050543664272</v>
      </c>
      <c r="K55" s="4">
        <f t="shared" si="6"/>
        <v>-9.6548214856897185E-2</v>
      </c>
      <c r="L55" s="4">
        <f t="shared" si="6"/>
        <v>-6.5589196698370933E-2</v>
      </c>
      <c r="M55" s="4">
        <f t="shared" si="6"/>
        <v>-3.3165024268488066E-2</v>
      </c>
      <c r="N55" s="4">
        <f t="shared" si="7"/>
        <v>-1.3631058921070117E-17</v>
      </c>
      <c r="O55" s="4">
        <f t="shared" si="7"/>
        <v>3.3165024268487997E-2</v>
      </c>
      <c r="P55" s="4">
        <f t="shared" si="7"/>
        <v>6.5589196698370905E-2</v>
      </c>
      <c r="Q55" s="4">
        <f t="shared" si="7"/>
        <v>9.6548214856897116E-2</v>
      </c>
      <c r="R55" s="4">
        <f t="shared" si="7"/>
        <v>0.12535050543664275</v>
      </c>
      <c r="S55" s="4">
        <f t="shared" si="7"/>
        <v>0.15135267286040865</v>
      </c>
      <c r="T55" s="4">
        <f t="shared" si="7"/>
        <v>0.17397387167523626</v>
      </c>
      <c r="U55" s="4">
        <f t="shared" si="7"/>
        <v>0.19270878168000802</v>
      </c>
      <c r="V55" s="4">
        <f t="shared" si="7"/>
        <v>0.20713889594372428</v>
      </c>
      <c r="W55" s="4">
        <f t="shared" si="7"/>
        <v>0.21694186955877956</v>
      </c>
      <c r="X55" s="7">
        <f t="shared" si="7"/>
        <v>0.22189872029353988</v>
      </c>
    </row>
    <row r="56" spans="1:24" x14ac:dyDescent="0.25">
      <c r="A56" s="2">
        <v>21</v>
      </c>
      <c r="B56" s="4">
        <f>IF(21&lt;=N,(21-0.5)*dx,"")</f>
        <v>0.97619047619047616</v>
      </c>
      <c r="D56" s="7">
        <f t="shared" si="6"/>
        <v>-7.4521133088087638E-2</v>
      </c>
      <c r="E56" s="7">
        <f t="shared" si="6"/>
        <v>-7.2856454117365285E-2</v>
      </c>
      <c r="F56" s="7">
        <f t="shared" si="6"/>
        <v>-6.9564282353327345E-2</v>
      </c>
      <c r="G56" s="7">
        <f t="shared" si="6"/>
        <v>-6.4718159473032319E-2</v>
      </c>
      <c r="H56" s="7">
        <f t="shared" si="6"/>
        <v>-5.8426339853649006E-2</v>
      </c>
      <c r="I56" s="7">
        <f t="shared" si="6"/>
        <v>-5.0829372348555509E-2</v>
      </c>
      <c r="J56" s="7">
        <f t="shared" si="6"/>
        <v>-4.2096960658204646E-2</v>
      </c>
      <c r="K56" s="7">
        <f t="shared" si="6"/>
        <v>-3.2424172429882998E-2</v>
      </c>
      <c r="L56" s="7">
        <f t="shared" si="6"/>
        <v>-2.2027081768809804E-2</v>
      </c>
      <c r="M56" s="7">
        <f t="shared" si="6"/>
        <v>-1.1137942499678347E-2</v>
      </c>
      <c r="N56" s="7">
        <f t="shared" si="7"/>
        <v>-4.5777729346292381E-18</v>
      </c>
      <c r="O56" s="7">
        <f t="shared" si="7"/>
        <v>1.1137942499678323E-2</v>
      </c>
      <c r="P56" s="7">
        <f t="shared" si="7"/>
        <v>2.2027081768809798E-2</v>
      </c>
      <c r="Q56" s="7">
        <f t="shared" si="7"/>
        <v>3.2424172429882978E-2</v>
      </c>
      <c r="R56" s="7">
        <f t="shared" si="7"/>
        <v>4.2096960658204653E-2</v>
      </c>
      <c r="S56" s="7">
        <f t="shared" si="7"/>
        <v>5.0829372348555481E-2</v>
      </c>
      <c r="T56" s="7">
        <f t="shared" si="7"/>
        <v>5.8426339853649006E-2</v>
      </c>
      <c r="U56" s="7">
        <f t="shared" si="7"/>
        <v>6.4718159473032305E-2</v>
      </c>
      <c r="V56" s="7">
        <f t="shared" si="7"/>
        <v>6.9564282353327331E-2</v>
      </c>
      <c r="W56" s="7">
        <f t="shared" si="7"/>
        <v>7.2856454117365285E-2</v>
      </c>
      <c r="X56" s="7">
        <f t="shared" si="7"/>
        <v>7.4521133088087638E-2</v>
      </c>
    </row>
    <row r="60" spans="1:24" ht="15.75" x14ac:dyDescent="0.25">
      <c r="A60" s="5" t="s">
        <v>53</v>
      </c>
    </row>
    <row r="61" spans="1:24" x14ac:dyDescent="0.25">
      <c r="A61" s="2" t="s">
        <v>48</v>
      </c>
      <c r="D61" s="2">
        <v>1</v>
      </c>
      <c r="E61" s="2">
        <v>2</v>
      </c>
      <c r="F61" s="2">
        <v>3</v>
      </c>
      <c r="G61" s="2">
        <v>4</v>
      </c>
      <c r="H61" s="2">
        <v>5</v>
      </c>
      <c r="I61" s="2">
        <v>6</v>
      </c>
      <c r="J61" s="2">
        <v>7</v>
      </c>
      <c r="K61" s="2">
        <v>8</v>
      </c>
      <c r="L61" s="2">
        <v>9</v>
      </c>
      <c r="M61" s="2">
        <v>10</v>
      </c>
      <c r="N61" s="2">
        <v>11</v>
      </c>
      <c r="O61" s="2">
        <v>12</v>
      </c>
      <c r="P61" s="2">
        <v>13</v>
      </c>
      <c r="Q61" s="2">
        <v>14</v>
      </c>
      <c r="R61" s="2">
        <v>15</v>
      </c>
      <c r="S61" s="2">
        <v>16</v>
      </c>
      <c r="T61" s="2">
        <v>17</v>
      </c>
      <c r="U61" s="2">
        <v>18</v>
      </c>
      <c r="V61" s="2">
        <v>19</v>
      </c>
      <c r="W61" s="2">
        <v>20</v>
      </c>
      <c r="X61" s="2">
        <v>21</v>
      </c>
    </row>
    <row r="62" spans="1:24" x14ac:dyDescent="0.25">
      <c r="A62" s="2" t="s">
        <v>49</v>
      </c>
      <c r="D62" s="4">
        <f>IF(1&lt;=N,(1-0.5)*dx,"")</f>
        <v>2.3809523809523808E-2</v>
      </c>
      <c r="E62" s="4">
        <f>IF(2&lt;=N,(2-0.5)*dx,"")</f>
        <v>7.1428571428571425E-2</v>
      </c>
      <c r="F62" s="4">
        <f>IF(3&lt;=N,(3-0.5)*dx,"")</f>
        <v>0.11904761904761904</v>
      </c>
      <c r="G62" s="4">
        <f>IF(4&lt;=N,(4-0.5)*dx,"")</f>
        <v>0.16666666666666666</v>
      </c>
      <c r="H62" s="4">
        <f>IF(5&lt;=N,(5-0.5)*dx,"")</f>
        <v>0.21428571428571427</v>
      </c>
      <c r="I62" s="4">
        <f>IF(6&lt;=N,(6-0.5)*dx,"")</f>
        <v>0.26190476190476186</v>
      </c>
      <c r="J62" s="4">
        <f>IF(7&lt;=N,(7-0.5)*dx,"")</f>
        <v>0.30952380952380953</v>
      </c>
      <c r="K62" s="4">
        <f>IF(8&lt;=N,(8-0.5)*dx,"")</f>
        <v>0.3571428571428571</v>
      </c>
      <c r="L62" s="4">
        <f>IF(9&lt;=N,(9-0.5)*dx,"")</f>
        <v>0.40476190476190477</v>
      </c>
      <c r="M62" s="4">
        <f>IF(10&lt;=N,(10-0.5)*dx,"")</f>
        <v>0.45238095238095233</v>
      </c>
      <c r="N62" s="4">
        <f>IF(11&lt;=N,(11-0.5)*dx,"")</f>
        <v>0.5</v>
      </c>
      <c r="O62" s="4">
        <f>IF(12&lt;=N,(12-0.5)*dx,"")</f>
        <v>0.54761904761904756</v>
      </c>
      <c r="P62" s="4">
        <f>IF(13&lt;=N,(13-0.5)*dx,"")</f>
        <v>0.59523809523809523</v>
      </c>
      <c r="Q62" s="4">
        <f>IF(14&lt;=N,(14-0.5)*dx,"")</f>
        <v>0.64285714285714279</v>
      </c>
      <c r="R62" s="4">
        <f>IF(15&lt;=N,(15-0.5)*dx,"")</f>
        <v>0.69047619047619047</v>
      </c>
      <c r="S62" s="4">
        <f>IF(16&lt;=N,(16-0.5)*dx,"")</f>
        <v>0.73809523809523803</v>
      </c>
      <c r="T62" s="4">
        <f>IF(17&lt;=N,(17-0.5)*dx,"")</f>
        <v>0.7857142857142857</v>
      </c>
      <c r="U62" s="4">
        <f>IF(18&lt;=N,(18-0.5)*dx,"")</f>
        <v>0.83333333333333326</v>
      </c>
      <c r="V62" s="4">
        <f>IF(19&lt;=N,(19-0.5)*dx,"")</f>
        <v>0.88095238095238093</v>
      </c>
      <c r="W62" s="4">
        <f>IF(20&lt;=N,(20-0.5)*dx,"")</f>
        <v>0.92857142857142849</v>
      </c>
      <c r="X62" s="4">
        <f>IF(21&lt;=N,(21-0.5)*dx,"")</f>
        <v>0.97619047619047616</v>
      </c>
    </row>
    <row r="63" spans="1:24" x14ac:dyDescent="0.25">
      <c r="A63" s="2" t="s">
        <v>50</v>
      </c>
      <c r="B63" s="2" t="s">
        <v>51</v>
      </c>
    </row>
    <row r="64" spans="1:24" x14ac:dyDescent="0.25">
      <c r="A64" s="2">
        <v>1</v>
      </c>
      <c r="B64" s="4">
        <f>IF(1&lt;=N,(1-0.5)*dx,"")</f>
        <v>2.3809523809523808E-2</v>
      </c>
      <c r="D64" s="7" t="str">
        <f t="shared" ref="D64:X64" si="8">IF(COUNT(C8,E8,D35,D37)&lt;4,"",(E8-C8)/(2*dx)+(D37-D35)/(2*dx))</f>
        <v/>
      </c>
      <c r="E64" s="7" t="str">
        <f t="shared" si="8"/>
        <v/>
      </c>
      <c r="F64" s="7" t="str">
        <f t="shared" si="8"/>
        <v/>
      </c>
      <c r="G64" s="7" t="str">
        <f t="shared" si="8"/>
        <v/>
      </c>
      <c r="H64" s="7" t="str">
        <f t="shared" si="8"/>
        <v/>
      </c>
      <c r="I64" s="7" t="str">
        <f t="shared" si="8"/>
        <v/>
      </c>
      <c r="J64" s="7" t="str">
        <f t="shared" si="8"/>
        <v/>
      </c>
      <c r="K64" s="7" t="str">
        <f t="shared" si="8"/>
        <v/>
      </c>
      <c r="L64" s="7" t="str">
        <f t="shared" si="8"/>
        <v/>
      </c>
      <c r="M64" s="7" t="str">
        <f t="shared" si="8"/>
        <v/>
      </c>
      <c r="N64" s="7" t="str">
        <f t="shared" si="8"/>
        <v/>
      </c>
      <c r="O64" s="7" t="str">
        <f t="shared" si="8"/>
        <v/>
      </c>
      <c r="P64" s="7" t="str">
        <f t="shared" si="8"/>
        <v/>
      </c>
      <c r="Q64" s="7" t="str">
        <f t="shared" si="8"/>
        <v/>
      </c>
      <c r="R64" s="7" t="str">
        <f t="shared" si="8"/>
        <v/>
      </c>
      <c r="S64" s="7" t="str">
        <f t="shared" si="8"/>
        <v/>
      </c>
      <c r="T64" s="7" t="str">
        <f t="shared" si="8"/>
        <v/>
      </c>
      <c r="U64" s="7" t="str">
        <f t="shared" si="8"/>
        <v/>
      </c>
      <c r="V64" s="7" t="str">
        <f t="shared" si="8"/>
        <v/>
      </c>
      <c r="W64" s="7" t="str">
        <f t="shared" si="8"/>
        <v/>
      </c>
      <c r="X64" s="7" t="str">
        <f t="shared" si="8"/>
        <v/>
      </c>
    </row>
    <row r="65" spans="1:24" x14ac:dyDescent="0.25">
      <c r="A65" s="2">
        <v>2</v>
      </c>
      <c r="B65" s="4">
        <f>IF(2&lt;=N,(2-0.5)*dx,"")</f>
        <v>7.1428571428571425E-2</v>
      </c>
      <c r="D65" s="7" t="str">
        <f t="shared" ref="D65:X65" si="9">IF(COUNT(C9,E9,D36,D38)&lt;4,"",(E9-C9)/(2*dx)+(D38-D36)/(2*dx))</f>
        <v/>
      </c>
      <c r="E65" s="4">
        <f t="shared" si="9"/>
        <v>0</v>
      </c>
      <c r="F65" s="4">
        <f t="shared" si="9"/>
        <v>0</v>
      </c>
      <c r="G65" s="4">
        <f t="shared" si="9"/>
        <v>-4.4408920985006262E-16</v>
      </c>
      <c r="H65" s="4">
        <f t="shared" si="9"/>
        <v>4.4408920985006262E-16</v>
      </c>
      <c r="I65" s="4">
        <f t="shared" si="9"/>
        <v>4.4408920985006262E-16</v>
      </c>
      <c r="J65" s="4">
        <f t="shared" si="9"/>
        <v>-2.2204460492503131E-16</v>
      </c>
      <c r="K65" s="4">
        <f t="shared" si="9"/>
        <v>-1.5543122344752192E-15</v>
      </c>
      <c r="L65" s="4">
        <f t="shared" si="9"/>
        <v>1.2212453270876722E-15</v>
      </c>
      <c r="M65" s="4">
        <f t="shared" si="9"/>
        <v>4.9960036108132044E-16</v>
      </c>
      <c r="N65" s="4">
        <f t="shared" si="9"/>
        <v>-1.8692180473293445E-16</v>
      </c>
      <c r="O65" s="4">
        <f t="shared" si="9"/>
        <v>-1.5543122344752192E-15</v>
      </c>
      <c r="P65" s="4">
        <f t="shared" si="9"/>
        <v>-3.3306690738754696E-16</v>
      </c>
      <c r="Q65" s="4">
        <f t="shared" si="9"/>
        <v>0</v>
      </c>
      <c r="R65" s="4">
        <f t="shared" si="9"/>
        <v>1.7763568394002505E-15</v>
      </c>
      <c r="S65" s="4">
        <f t="shared" si="9"/>
        <v>4.4408920985006262E-16</v>
      </c>
      <c r="T65" s="4">
        <f t="shared" si="9"/>
        <v>1.3322676295501878E-15</v>
      </c>
      <c r="U65" s="4">
        <f t="shared" si="9"/>
        <v>8.8817841970012523E-16</v>
      </c>
      <c r="V65" s="4">
        <f t="shared" si="9"/>
        <v>1.7763568394002505E-15</v>
      </c>
      <c r="W65" s="4">
        <f t="shared" si="9"/>
        <v>1.7763568394002505E-15</v>
      </c>
      <c r="X65" s="7" t="str">
        <f t="shared" si="9"/>
        <v/>
      </c>
    </row>
    <row r="66" spans="1:24" x14ac:dyDescent="0.25">
      <c r="A66" s="2">
        <v>3</v>
      </c>
      <c r="B66" s="4">
        <f>IF(3&lt;=N,(3-0.5)*dx,"")</f>
        <v>0.11904761904761904</v>
      </c>
      <c r="D66" s="7" t="str">
        <f t="shared" ref="D66:X66" si="10">IF(COUNT(C10,E10,D37,D39)&lt;4,"",(E10-C10)/(2*dx)+(D39-D37)/(2*dx))</f>
        <v/>
      </c>
      <c r="E66" s="4">
        <f t="shared" si="10"/>
        <v>0</v>
      </c>
      <c r="F66" s="4">
        <f t="shared" si="10"/>
        <v>0</v>
      </c>
      <c r="G66" s="4">
        <f t="shared" si="10"/>
        <v>4.4408920985006262E-16</v>
      </c>
      <c r="H66" s="4">
        <f t="shared" si="10"/>
        <v>-4.4408920985006262E-16</v>
      </c>
      <c r="I66" s="4">
        <f t="shared" si="10"/>
        <v>2.2204460492503131E-16</v>
      </c>
      <c r="J66" s="4">
        <f t="shared" si="10"/>
        <v>8.8817841970012523E-16</v>
      </c>
      <c r="K66" s="4">
        <f t="shared" si="10"/>
        <v>-6.6613381477509392E-16</v>
      </c>
      <c r="L66" s="4">
        <f t="shared" si="10"/>
        <v>5.5511151231257827E-16</v>
      </c>
      <c r="M66" s="4">
        <f t="shared" si="10"/>
        <v>-3.8857805861880479E-16</v>
      </c>
      <c r="N66" s="4">
        <f t="shared" si="10"/>
        <v>-1.7847535074227684E-16</v>
      </c>
      <c r="O66" s="4">
        <f t="shared" si="10"/>
        <v>-5.5511151231257827E-16</v>
      </c>
      <c r="P66" s="4">
        <f t="shared" si="10"/>
        <v>3.3306690738754696E-16</v>
      </c>
      <c r="Q66" s="4">
        <f t="shared" si="10"/>
        <v>-1.1102230246251565E-15</v>
      </c>
      <c r="R66" s="4">
        <f t="shared" si="10"/>
        <v>4.4408920985006262E-16</v>
      </c>
      <c r="S66" s="4">
        <f t="shared" si="10"/>
        <v>0</v>
      </c>
      <c r="T66" s="4">
        <f t="shared" si="10"/>
        <v>2.2204460492503131E-15</v>
      </c>
      <c r="U66" s="4">
        <f t="shared" si="10"/>
        <v>1.3322676295501878E-15</v>
      </c>
      <c r="V66" s="4">
        <f t="shared" si="10"/>
        <v>4.4408920985006262E-16</v>
      </c>
      <c r="W66" s="4">
        <f t="shared" si="10"/>
        <v>1.3322676295501878E-15</v>
      </c>
      <c r="X66" s="7" t="str">
        <f t="shared" si="10"/>
        <v/>
      </c>
    </row>
    <row r="67" spans="1:24" x14ac:dyDescent="0.25">
      <c r="A67" s="2">
        <v>4</v>
      </c>
      <c r="B67" s="4">
        <f>IF(4&lt;=N,(4-0.5)*dx,"")</f>
        <v>0.16666666666666666</v>
      </c>
      <c r="D67" s="7" t="str">
        <f t="shared" ref="D67:X67" si="11">IF(COUNT(C11,E11,D38,D40)&lt;4,"",(E11-C11)/(2*dx)+(D40-D38)/(2*dx))</f>
        <v/>
      </c>
      <c r="E67" s="4">
        <f t="shared" si="11"/>
        <v>4.4408920985006262E-16</v>
      </c>
      <c r="F67" s="4">
        <f t="shared" si="11"/>
        <v>-4.4408920985006262E-16</v>
      </c>
      <c r="G67" s="4">
        <f t="shared" si="11"/>
        <v>0</v>
      </c>
      <c r="H67" s="4">
        <f t="shared" si="11"/>
        <v>0</v>
      </c>
      <c r="I67" s="4">
        <f t="shared" si="11"/>
        <v>2.2204460492503131E-16</v>
      </c>
      <c r="J67" s="4">
        <f t="shared" si="11"/>
        <v>8.8817841970012523E-16</v>
      </c>
      <c r="K67" s="4">
        <f t="shared" si="11"/>
        <v>-2.4424906541753444E-15</v>
      </c>
      <c r="L67" s="4">
        <f t="shared" si="11"/>
        <v>1.1102230246251565E-16</v>
      </c>
      <c r="M67" s="4">
        <f t="shared" si="11"/>
        <v>2.2204460492503131E-16</v>
      </c>
      <c r="N67" s="4">
        <f t="shared" si="11"/>
        <v>-1.66042052337676E-16</v>
      </c>
      <c r="O67" s="4">
        <f t="shared" si="11"/>
        <v>-1.0547118733938987E-15</v>
      </c>
      <c r="P67" s="4">
        <f t="shared" si="11"/>
        <v>5.5511151231257827E-16</v>
      </c>
      <c r="Q67" s="4">
        <f t="shared" si="11"/>
        <v>-2.2204460492503131E-16</v>
      </c>
      <c r="R67" s="4">
        <f t="shared" si="11"/>
        <v>1.1102230246251565E-15</v>
      </c>
      <c r="S67" s="4">
        <f t="shared" si="11"/>
        <v>-2.2204460492503131E-16</v>
      </c>
      <c r="T67" s="4">
        <f t="shared" si="11"/>
        <v>1.3322676295501878E-15</v>
      </c>
      <c r="U67" s="4">
        <f t="shared" si="11"/>
        <v>1.3322676295501878E-15</v>
      </c>
      <c r="V67" s="4">
        <f t="shared" si="11"/>
        <v>1.3322676295501878E-15</v>
      </c>
      <c r="W67" s="4">
        <f t="shared" si="11"/>
        <v>1.3322676295501878E-15</v>
      </c>
      <c r="X67" s="7" t="str">
        <f t="shared" si="11"/>
        <v/>
      </c>
    </row>
    <row r="68" spans="1:24" x14ac:dyDescent="0.25">
      <c r="A68" s="2">
        <v>5</v>
      </c>
      <c r="B68" s="4">
        <f>IF(5&lt;=N,(5-0.5)*dx,"")</f>
        <v>0.21428571428571427</v>
      </c>
      <c r="D68" s="7" t="str">
        <f t="shared" ref="D68:X68" si="12">IF(COUNT(C12,E12,D39,D41)&lt;4,"",(E12-C12)/(2*dx)+(D41-D39)/(2*dx))</f>
        <v/>
      </c>
      <c r="E68" s="4">
        <f t="shared" si="12"/>
        <v>-4.4408920985006262E-16</v>
      </c>
      <c r="F68" s="4">
        <f t="shared" si="12"/>
        <v>4.4408920985006262E-16</v>
      </c>
      <c r="G68" s="4">
        <f t="shared" si="12"/>
        <v>0</v>
      </c>
      <c r="H68" s="4">
        <f t="shared" si="12"/>
        <v>0</v>
      </c>
      <c r="I68" s="4">
        <f t="shared" si="12"/>
        <v>1.3322676295501878E-15</v>
      </c>
      <c r="J68" s="4">
        <f t="shared" si="12"/>
        <v>6.6613381477509392E-16</v>
      </c>
      <c r="K68" s="4">
        <f t="shared" si="12"/>
        <v>-1.7763568394002505E-15</v>
      </c>
      <c r="L68" s="4">
        <f t="shared" si="12"/>
        <v>5.5511151231257827E-16</v>
      </c>
      <c r="M68" s="4">
        <f t="shared" si="12"/>
        <v>0</v>
      </c>
      <c r="N68" s="4">
        <f t="shared" si="12"/>
        <v>-1.4989964886008359E-16</v>
      </c>
      <c r="O68" s="4">
        <f t="shared" si="12"/>
        <v>-7.2164496600635175E-16</v>
      </c>
      <c r="P68" s="4">
        <f t="shared" si="12"/>
        <v>2.2204460492503131E-16</v>
      </c>
      <c r="Q68" s="4">
        <f t="shared" si="12"/>
        <v>-4.4408920985006262E-16</v>
      </c>
      <c r="R68" s="4">
        <f t="shared" si="12"/>
        <v>6.6613381477509392E-16</v>
      </c>
      <c r="S68" s="4">
        <f t="shared" si="12"/>
        <v>6.6613381477509392E-16</v>
      </c>
      <c r="T68" s="4">
        <f t="shared" si="12"/>
        <v>1.1102230246251565E-15</v>
      </c>
      <c r="U68" s="4">
        <f t="shared" si="12"/>
        <v>0</v>
      </c>
      <c r="V68" s="4">
        <f t="shared" si="12"/>
        <v>8.8817841970012523E-16</v>
      </c>
      <c r="W68" s="4">
        <f t="shared" si="12"/>
        <v>8.8817841970012523E-16</v>
      </c>
      <c r="X68" s="7" t="str">
        <f t="shared" si="12"/>
        <v/>
      </c>
    </row>
    <row r="69" spans="1:24" x14ac:dyDescent="0.25">
      <c r="A69" s="2">
        <v>6</v>
      </c>
      <c r="B69" s="4">
        <f>IF(6&lt;=N,(6-0.5)*dx,"")</f>
        <v>0.26190476190476186</v>
      </c>
      <c r="D69" s="7" t="str">
        <f t="shared" ref="D69:X69" si="13">IF(COUNT(C13,E13,D40,D42)&lt;4,"",(E13-C13)/(2*dx)+(D42-D40)/(2*dx))</f>
        <v/>
      </c>
      <c r="E69" s="4">
        <f t="shared" si="13"/>
        <v>-4.4408920985006262E-16</v>
      </c>
      <c r="F69" s="4">
        <f t="shared" si="13"/>
        <v>-2.2204460492503131E-16</v>
      </c>
      <c r="G69" s="4">
        <f t="shared" si="13"/>
        <v>-2.2204460492503131E-16</v>
      </c>
      <c r="H69" s="4">
        <f t="shared" si="13"/>
        <v>-1.3322676295501878E-15</v>
      </c>
      <c r="I69" s="4">
        <f t="shared" si="13"/>
        <v>0</v>
      </c>
      <c r="J69" s="4">
        <f t="shared" si="13"/>
        <v>6.6613381477509392E-16</v>
      </c>
      <c r="K69" s="4">
        <f t="shared" si="13"/>
        <v>-1.1102230246251565E-15</v>
      </c>
      <c r="L69" s="4">
        <f t="shared" si="13"/>
        <v>-2.2204460492503131E-16</v>
      </c>
      <c r="M69" s="4">
        <f t="shared" si="13"/>
        <v>-3.3306690738754696E-16</v>
      </c>
      <c r="N69" s="4">
        <f t="shared" si="13"/>
        <v>-1.3040873492867022E-16</v>
      </c>
      <c r="O69" s="4">
        <f t="shared" si="13"/>
        <v>-4.4408920985006262E-16</v>
      </c>
      <c r="P69" s="4">
        <f t="shared" si="13"/>
        <v>2.2204460492503131E-16</v>
      </c>
      <c r="Q69" s="4">
        <f t="shared" si="13"/>
        <v>0</v>
      </c>
      <c r="R69" s="4">
        <f t="shared" si="13"/>
        <v>1.1102230246251565E-15</v>
      </c>
      <c r="S69" s="4">
        <f t="shared" si="13"/>
        <v>6.6613381477509392E-16</v>
      </c>
      <c r="T69" s="4">
        <f t="shared" si="13"/>
        <v>2.4424906541753444E-15</v>
      </c>
      <c r="U69" s="4">
        <f t="shared" si="13"/>
        <v>1.7763568394002505E-15</v>
      </c>
      <c r="V69" s="4">
        <f t="shared" si="13"/>
        <v>1.1102230246251565E-15</v>
      </c>
      <c r="W69" s="4">
        <f t="shared" si="13"/>
        <v>8.8817841970012523E-16</v>
      </c>
      <c r="X69" s="7" t="str">
        <f t="shared" si="13"/>
        <v/>
      </c>
    </row>
    <row r="70" spans="1:24" x14ac:dyDescent="0.25">
      <c r="A70" s="2">
        <v>7</v>
      </c>
      <c r="B70" s="4">
        <f>IF(7&lt;=N,(7-0.5)*dx,"")</f>
        <v>0.30952380952380953</v>
      </c>
      <c r="D70" s="7" t="str">
        <f t="shared" ref="D70:X70" si="14">IF(COUNT(C14,E14,D41,D43)&lt;4,"",(E14-C14)/(2*dx)+(D43-D41)/(2*dx))</f>
        <v/>
      </c>
      <c r="E70" s="4">
        <f t="shared" si="14"/>
        <v>2.2204460492503131E-16</v>
      </c>
      <c r="F70" s="4">
        <f t="shared" si="14"/>
        <v>-8.8817841970012523E-16</v>
      </c>
      <c r="G70" s="4">
        <f t="shared" si="14"/>
        <v>-8.8817841970012523E-16</v>
      </c>
      <c r="H70" s="4">
        <f t="shared" si="14"/>
        <v>-6.6613381477509392E-16</v>
      </c>
      <c r="I70" s="4">
        <f t="shared" si="14"/>
        <v>-6.6613381477509392E-16</v>
      </c>
      <c r="J70" s="4">
        <f t="shared" si="14"/>
        <v>0</v>
      </c>
      <c r="K70" s="4">
        <f t="shared" si="14"/>
        <v>-1.2212453270876722E-15</v>
      </c>
      <c r="L70" s="4">
        <f t="shared" si="14"/>
        <v>0</v>
      </c>
      <c r="M70" s="4">
        <f t="shared" si="14"/>
        <v>2.7755575615628914E-16</v>
      </c>
      <c r="N70" s="4">
        <f t="shared" si="14"/>
        <v>-1.0800470535289781E-16</v>
      </c>
      <c r="O70" s="4">
        <f t="shared" si="14"/>
        <v>-9.9920072216264089E-16</v>
      </c>
      <c r="P70" s="4">
        <f t="shared" si="14"/>
        <v>3.3306690738754696E-16</v>
      </c>
      <c r="Q70" s="4">
        <f t="shared" si="14"/>
        <v>0</v>
      </c>
      <c r="R70" s="4">
        <f t="shared" si="14"/>
        <v>1.7763568394002505E-15</v>
      </c>
      <c r="S70" s="4">
        <f t="shared" si="14"/>
        <v>6.6613381477509392E-16</v>
      </c>
      <c r="T70" s="4">
        <f t="shared" si="14"/>
        <v>1.7763568394002505E-15</v>
      </c>
      <c r="U70" s="4">
        <f t="shared" si="14"/>
        <v>1.7763568394002505E-15</v>
      </c>
      <c r="V70" s="4">
        <f t="shared" si="14"/>
        <v>6.6613381477509392E-16</v>
      </c>
      <c r="W70" s="4">
        <f t="shared" si="14"/>
        <v>8.8817841970012523E-16</v>
      </c>
      <c r="X70" s="7" t="str">
        <f t="shared" si="14"/>
        <v/>
      </c>
    </row>
    <row r="71" spans="1:24" x14ac:dyDescent="0.25">
      <c r="A71" s="2">
        <v>8</v>
      </c>
      <c r="B71" s="4">
        <f>IF(8&lt;=N,(8-0.5)*dx,"")</f>
        <v>0.3571428571428571</v>
      </c>
      <c r="D71" s="7" t="str">
        <f t="shared" ref="D71:X71" si="15">IF(COUNT(C15,E15,D42,D44)&lt;4,"",(E15-C15)/(2*dx)+(D44-D42)/(2*dx))</f>
        <v/>
      </c>
      <c r="E71" s="4">
        <f t="shared" si="15"/>
        <v>1.5543122344752192E-15</v>
      </c>
      <c r="F71" s="4">
        <f t="shared" si="15"/>
        <v>6.6613381477509392E-16</v>
      </c>
      <c r="G71" s="4">
        <f t="shared" si="15"/>
        <v>2.4424906541753444E-15</v>
      </c>
      <c r="H71" s="4">
        <f t="shared" si="15"/>
        <v>1.7763568394002505E-15</v>
      </c>
      <c r="I71" s="4">
        <f t="shared" si="15"/>
        <v>1.1102230246251565E-15</v>
      </c>
      <c r="J71" s="4">
        <f t="shared" si="15"/>
        <v>1.2212453270876722E-15</v>
      </c>
      <c r="K71" s="4">
        <f t="shared" si="15"/>
        <v>0</v>
      </c>
      <c r="L71" s="4">
        <f t="shared" si="15"/>
        <v>5.5511151231257827E-16</v>
      </c>
      <c r="M71" s="4">
        <f t="shared" si="15"/>
        <v>1.3877787807814457E-16</v>
      </c>
      <c r="N71" s="4">
        <f t="shared" si="15"/>
        <v>-8.3188029131944805E-17</v>
      </c>
      <c r="O71" s="4">
        <f t="shared" si="15"/>
        <v>-4.163336342344337E-16</v>
      </c>
      <c r="P71" s="4">
        <f t="shared" si="15"/>
        <v>-2.7755575615628914E-16</v>
      </c>
      <c r="Q71" s="4">
        <f t="shared" si="15"/>
        <v>-1.2212453270876722E-15</v>
      </c>
      <c r="R71" s="4">
        <f t="shared" si="15"/>
        <v>-1.2212453270876722E-15</v>
      </c>
      <c r="S71" s="4">
        <f t="shared" si="15"/>
        <v>-5.5511151231257827E-16</v>
      </c>
      <c r="T71" s="4">
        <f t="shared" si="15"/>
        <v>-6.6613381477509392E-16</v>
      </c>
      <c r="U71" s="4">
        <f t="shared" si="15"/>
        <v>-8.8817841970012523E-16</v>
      </c>
      <c r="V71" s="4">
        <f t="shared" si="15"/>
        <v>0</v>
      </c>
      <c r="W71" s="4">
        <f t="shared" si="15"/>
        <v>-1.3322676295501878E-15</v>
      </c>
      <c r="X71" s="7" t="str">
        <f t="shared" si="15"/>
        <v/>
      </c>
    </row>
    <row r="72" spans="1:24" x14ac:dyDescent="0.25">
      <c r="A72" s="2">
        <v>9</v>
      </c>
      <c r="B72" s="4">
        <f>IF(9&lt;=N,(9-0.5)*dx,"")</f>
        <v>0.40476190476190477</v>
      </c>
      <c r="D72" s="7" t="str">
        <f t="shared" ref="D72:X72" si="16">IF(COUNT(C16,E16,D43,D45)&lt;4,"",(E16-C16)/(2*dx)+(D45-D43)/(2*dx))</f>
        <v/>
      </c>
      <c r="E72" s="4">
        <f t="shared" si="16"/>
        <v>-1.2212453270876722E-15</v>
      </c>
      <c r="F72" s="4">
        <f t="shared" si="16"/>
        <v>-5.5511151231257827E-16</v>
      </c>
      <c r="G72" s="4">
        <f t="shared" si="16"/>
        <v>-1.1102230246251565E-16</v>
      </c>
      <c r="H72" s="4">
        <f t="shared" si="16"/>
        <v>-5.5511151231257827E-16</v>
      </c>
      <c r="I72" s="4">
        <f t="shared" si="16"/>
        <v>2.2204460492503131E-16</v>
      </c>
      <c r="J72" s="4">
        <f t="shared" si="16"/>
        <v>0</v>
      </c>
      <c r="K72" s="4">
        <f t="shared" si="16"/>
        <v>-5.5511151231257827E-16</v>
      </c>
      <c r="L72" s="4">
        <f t="shared" si="16"/>
        <v>0</v>
      </c>
      <c r="M72" s="4">
        <f t="shared" si="16"/>
        <v>0</v>
      </c>
      <c r="N72" s="4">
        <f t="shared" si="16"/>
        <v>-5.6513069804264376E-17</v>
      </c>
      <c r="O72" s="4">
        <f t="shared" si="16"/>
        <v>-2.7755575615628914E-16</v>
      </c>
      <c r="P72" s="4">
        <f t="shared" si="16"/>
        <v>0</v>
      </c>
      <c r="Q72" s="4">
        <f t="shared" si="16"/>
        <v>2.7755575615628914E-16</v>
      </c>
      <c r="R72" s="4">
        <f t="shared" si="16"/>
        <v>0</v>
      </c>
      <c r="S72" s="4">
        <f t="shared" si="16"/>
        <v>3.3306690738754696E-16</v>
      </c>
      <c r="T72" s="4">
        <f t="shared" si="16"/>
        <v>1.4432899320127035E-15</v>
      </c>
      <c r="U72" s="4">
        <f t="shared" si="16"/>
        <v>5.5511151231257827E-16</v>
      </c>
      <c r="V72" s="4">
        <f t="shared" si="16"/>
        <v>8.8817841970012523E-16</v>
      </c>
      <c r="W72" s="4">
        <f t="shared" si="16"/>
        <v>1.7763568394002505E-15</v>
      </c>
      <c r="X72" s="7" t="str">
        <f t="shared" si="16"/>
        <v/>
      </c>
    </row>
    <row r="73" spans="1:24" x14ac:dyDescent="0.25">
      <c r="A73" s="2">
        <v>10</v>
      </c>
      <c r="B73" s="4">
        <f>IF(10&lt;=N,(10-0.5)*dx,"")</f>
        <v>0.45238095238095233</v>
      </c>
      <c r="D73" s="7" t="str">
        <f t="shared" ref="D73:X73" si="17">IF(COUNT(C17,E17,D44,D46)&lt;4,"",(E17-C17)/(2*dx)+(D46-D44)/(2*dx))</f>
        <v/>
      </c>
      <c r="E73" s="4">
        <f t="shared" si="17"/>
        <v>-4.9960036108132044E-16</v>
      </c>
      <c r="F73" s="4">
        <f t="shared" si="17"/>
        <v>3.8857805861880479E-16</v>
      </c>
      <c r="G73" s="4">
        <f t="shared" si="17"/>
        <v>-2.2204460492503131E-16</v>
      </c>
      <c r="H73" s="4">
        <f t="shared" si="17"/>
        <v>0</v>
      </c>
      <c r="I73" s="4">
        <f t="shared" si="17"/>
        <v>3.3306690738754696E-16</v>
      </c>
      <c r="J73" s="4">
        <f t="shared" si="17"/>
        <v>-2.7755575615628914E-16</v>
      </c>
      <c r="K73" s="4">
        <f t="shared" si="17"/>
        <v>-1.3877787807814457E-16</v>
      </c>
      <c r="L73" s="4">
        <f t="shared" si="17"/>
        <v>0</v>
      </c>
      <c r="M73" s="4">
        <f t="shared" si="17"/>
        <v>0</v>
      </c>
      <c r="N73" s="4">
        <f t="shared" si="17"/>
        <v>-2.85757018821933E-17</v>
      </c>
      <c r="O73" s="4">
        <f t="shared" si="17"/>
        <v>-2.9143354396410359E-16</v>
      </c>
      <c r="P73" s="4">
        <f t="shared" si="17"/>
        <v>0</v>
      </c>
      <c r="Q73" s="4">
        <f t="shared" si="17"/>
        <v>0</v>
      </c>
      <c r="R73" s="4">
        <f t="shared" si="17"/>
        <v>7.2164496600635175E-16</v>
      </c>
      <c r="S73" s="4">
        <f t="shared" si="17"/>
        <v>0</v>
      </c>
      <c r="T73" s="4">
        <f t="shared" si="17"/>
        <v>2.7755575615628914E-16</v>
      </c>
      <c r="U73" s="4">
        <f t="shared" si="17"/>
        <v>4.9960036108132044E-16</v>
      </c>
      <c r="V73" s="4">
        <f t="shared" si="17"/>
        <v>-3.3306690738754696E-16</v>
      </c>
      <c r="W73" s="4">
        <f t="shared" si="17"/>
        <v>7.2164496600635175E-16</v>
      </c>
      <c r="X73" s="7" t="str">
        <f t="shared" si="17"/>
        <v/>
      </c>
    </row>
    <row r="74" spans="1:24" x14ac:dyDescent="0.25">
      <c r="A74" s="2">
        <v>11</v>
      </c>
      <c r="B74" s="4">
        <f>IF(11&lt;=N,(11-0.5)*dx,"")</f>
        <v>0.5</v>
      </c>
      <c r="D74" s="7" t="str">
        <f t="shared" ref="D74:X74" si="18">IF(COUNT(C18,E18,D45,D47)&lt;4,"",(E18-C18)/(2*dx)+(D47-D45)/(2*dx))</f>
        <v/>
      </c>
      <c r="E74" s="4">
        <f t="shared" si="18"/>
        <v>1.8692180473293445E-16</v>
      </c>
      <c r="F74" s="4">
        <f t="shared" si="18"/>
        <v>1.7847535074227684E-16</v>
      </c>
      <c r="G74" s="4">
        <f t="shared" si="18"/>
        <v>1.66042052337676E-16</v>
      </c>
      <c r="H74" s="4">
        <f t="shared" si="18"/>
        <v>1.4989964886008359E-16</v>
      </c>
      <c r="I74" s="4">
        <f t="shared" si="18"/>
        <v>1.3040873492867022E-16</v>
      </c>
      <c r="J74" s="4">
        <f t="shared" si="18"/>
        <v>1.0800470535289781E-16</v>
      </c>
      <c r="K74" s="4">
        <f t="shared" si="18"/>
        <v>8.3188029131944805E-17</v>
      </c>
      <c r="L74" s="4">
        <f t="shared" si="18"/>
        <v>5.6513069804264376E-17</v>
      </c>
      <c r="M74" s="4">
        <f t="shared" si="18"/>
        <v>2.85757018821933E-17</v>
      </c>
      <c r="N74" s="4">
        <f t="shared" si="18"/>
        <v>0</v>
      </c>
      <c r="O74" s="4">
        <f t="shared" si="18"/>
        <v>-2.85757018821933E-17</v>
      </c>
      <c r="P74" s="4">
        <f t="shared" si="18"/>
        <v>-5.6513069804264314E-17</v>
      </c>
      <c r="Q74" s="4">
        <f t="shared" si="18"/>
        <v>-8.3188029131944867E-17</v>
      </c>
      <c r="R74" s="4">
        <f t="shared" si="18"/>
        <v>-1.0800470535289775E-16</v>
      </c>
      <c r="S74" s="4">
        <f t="shared" si="18"/>
        <v>-1.3040873492867008E-16</v>
      </c>
      <c r="T74" s="4">
        <f t="shared" si="18"/>
        <v>-1.4989964886008346E-16</v>
      </c>
      <c r="U74" s="4">
        <f t="shared" si="18"/>
        <v>-1.6604205233767593E-16</v>
      </c>
      <c r="V74" s="4">
        <f t="shared" si="18"/>
        <v>-1.7847535074227674E-16</v>
      </c>
      <c r="W74" s="4">
        <f t="shared" si="18"/>
        <v>-1.8692180473293435E-16</v>
      </c>
      <c r="X74" s="7" t="str">
        <f t="shared" si="18"/>
        <v/>
      </c>
    </row>
    <row r="75" spans="1:24" x14ac:dyDescent="0.25">
      <c r="A75" s="2">
        <v>12</v>
      </c>
      <c r="B75" s="4">
        <f>IF(12&lt;=N,(12-0.5)*dx,"")</f>
        <v>0.54761904761904756</v>
      </c>
      <c r="D75" s="7" t="str">
        <f t="shared" ref="D75:X75" si="19">IF(COUNT(C19,E19,D46,D48)&lt;4,"",(E19-C19)/(2*dx)+(D48-D46)/(2*dx))</f>
        <v/>
      </c>
      <c r="E75" s="4">
        <f t="shared" si="19"/>
        <v>1.5543122344752192E-15</v>
      </c>
      <c r="F75" s="4">
        <f t="shared" si="19"/>
        <v>5.5511151231257827E-16</v>
      </c>
      <c r="G75" s="4">
        <f t="shared" si="19"/>
        <v>1.0547118733938987E-15</v>
      </c>
      <c r="H75" s="4">
        <f t="shared" si="19"/>
        <v>7.2164496600635175E-16</v>
      </c>
      <c r="I75" s="4">
        <f t="shared" si="19"/>
        <v>4.4408920985006262E-16</v>
      </c>
      <c r="J75" s="4">
        <f t="shared" si="19"/>
        <v>9.9920072216264089E-16</v>
      </c>
      <c r="K75" s="4">
        <f t="shared" si="19"/>
        <v>4.163336342344337E-16</v>
      </c>
      <c r="L75" s="4">
        <f t="shared" si="19"/>
        <v>2.7755575615628914E-16</v>
      </c>
      <c r="M75" s="4">
        <f t="shared" si="19"/>
        <v>2.9143354396410359E-16</v>
      </c>
      <c r="N75" s="4">
        <f t="shared" si="19"/>
        <v>2.85757018821933E-17</v>
      </c>
      <c r="O75" s="4">
        <f t="shared" si="19"/>
        <v>0</v>
      </c>
      <c r="P75" s="4">
        <f t="shared" si="19"/>
        <v>-5.8286708792820718E-16</v>
      </c>
      <c r="Q75" s="4">
        <f t="shared" si="19"/>
        <v>-2.7755575615628914E-16</v>
      </c>
      <c r="R75" s="4">
        <f t="shared" si="19"/>
        <v>-9.9920072216264089E-16</v>
      </c>
      <c r="S75" s="4">
        <f t="shared" si="19"/>
        <v>-7.2164496600635175E-16</v>
      </c>
      <c r="T75" s="4">
        <f t="shared" si="19"/>
        <v>-1.1657341758564144E-15</v>
      </c>
      <c r="U75" s="4">
        <f t="shared" si="19"/>
        <v>-1.3877787807814457E-15</v>
      </c>
      <c r="V75" s="4">
        <f t="shared" si="19"/>
        <v>-7.2164496600635175E-16</v>
      </c>
      <c r="W75" s="4">
        <f t="shared" si="19"/>
        <v>-1.7763568394002505E-15</v>
      </c>
      <c r="X75" s="7" t="str">
        <f t="shared" si="19"/>
        <v/>
      </c>
    </row>
    <row r="76" spans="1:24" x14ac:dyDescent="0.25">
      <c r="A76" s="2">
        <v>13</v>
      </c>
      <c r="B76" s="4">
        <f>IF(13&lt;=N,(13-0.5)*dx,"")</f>
        <v>0.59523809523809523</v>
      </c>
      <c r="D76" s="7" t="str">
        <f t="shared" ref="D76:X76" si="20">IF(COUNT(C20,E20,D47,D49)&lt;4,"",(E20-C20)/(2*dx)+(D49-D47)/(2*dx))</f>
        <v/>
      </c>
      <c r="E76" s="4">
        <f t="shared" si="20"/>
        <v>3.3306690738754696E-16</v>
      </c>
      <c r="F76" s="4">
        <f t="shared" si="20"/>
        <v>-3.3306690738754696E-16</v>
      </c>
      <c r="G76" s="4">
        <f t="shared" si="20"/>
        <v>-5.5511151231257827E-16</v>
      </c>
      <c r="H76" s="4">
        <f t="shared" si="20"/>
        <v>-2.2204460492503131E-16</v>
      </c>
      <c r="I76" s="4">
        <f t="shared" si="20"/>
        <v>-2.2204460492503131E-16</v>
      </c>
      <c r="J76" s="4">
        <f t="shared" si="20"/>
        <v>-3.3306690738754696E-16</v>
      </c>
      <c r="K76" s="4">
        <f t="shared" si="20"/>
        <v>2.7755575615628914E-16</v>
      </c>
      <c r="L76" s="4">
        <f t="shared" si="20"/>
        <v>0</v>
      </c>
      <c r="M76" s="4">
        <f t="shared" si="20"/>
        <v>0</v>
      </c>
      <c r="N76" s="4">
        <f t="shared" si="20"/>
        <v>5.6513069804264314E-17</v>
      </c>
      <c r="O76" s="4">
        <f t="shared" si="20"/>
        <v>5.8286708792820718E-16</v>
      </c>
      <c r="P76" s="4">
        <f t="shared" si="20"/>
        <v>0</v>
      </c>
      <c r="Q76" s="4">
        <f t="shared" si="20"/>
        <v>0</v>
      </c>
      <c r="R76" s="4">
        <f t="shared" si="20"/>
        <v>-2.2204460492503131E-16</v>
      </c>
      <c r="S76" s="4">
        <f t="shared" si="20"/>
        <v>8.8817841970012523E-16</v>
      </c>
      <c r="T76" s="4">
        <f t="shared" si="20"/>
        <v>-5.5511151231257827E-16</v>
      </c>
      <c r="U76" s="4">
        <f t="shared" si="20"/>
        <v>0</v>
      </c>
      <c r="V76" s="4">
        <f t="shared" si="20"/>
        <v>0</v>
      </c>
      <c r="W76" s="4">
        <f t="shared" si="20"/>
        <v>-7.7715611723760958E-16</v>
      </c>
      <c r="X76" s="7" t="str">
        <f t="shared" si="20"/>
        <v/>
      </c>
    </row>
    <row r="77" spans="1:24" x14ac:dyDescent="0.25">
      <c r="A77" s="2">
        <v>14</v>
      </c>
      <c r="B77" s="4">
        <f>IF(14&lt;=N,(14-0.5)*dx,"")</f>
        <v>0.64285714285714279</v>
      </c>
      <c r="D77" s="7" t="str">
        <f t="shared" ref="D77:X77" si="21">IF(COUNT(C21,E21,D48,D50)&lt;4,"",(E21-C21)/(2*dx)+(D50-D48)/(2*dx))</f>
        <v/>
      </c>
      <c r="E77" s="4">
        <f t="shared" si="21"/>
        <v>0</v>
      </c>
      <c r="F77" s="4">
        <f t="shared" si="21"/>
        <v>1.1102230246251565E-15</v>
      </c>
      <c r="G77" s="4">
        <f t="shared" si="21"/>
        <v>2.2204460492503131E-16</v>
      </c>
      <c r="H77" s="4">
        <f t="shared" si="21"/>
        <v>4.4408920985006262E-16</v>
      </c>
      <c r="I77" s="4">
        <f t="shared" si="21"/>
        <v>0</v>
      </c>
      <c r="J77" s="4">
        <f t="shared" si="21"/>
        <v>0</v>
      </c>
      <c r="K77" s="4">
        <f t="shared" si="21"/>
        <v>1.2212453270876722E-15</v>
      </c>
      <c r="L77" s="4">
        <f t="shared" si="21"/>
        <v>-2.7755575615628914E-16</v>
      </c>
      <c r="M77" s="4">
        <f t="shared" si="21"/>
        <v>0</v>
      </c>
      <c r="N77" s="4">
        <f t="shared" si="21"/>
        <v>8.3188029131944867E-17</v>
      </c>
      <c r="O77" s="4">
        <f t="shared" si="21"/>
        <v>2.7755575615628914E-16</v>
      </c>
      <c r="P77" s="4">
        <f t="shared" si="21"/>
        <v>0</v>
      </c>
      <c r="Q77" s="4">
        <f t="shared" si="21"/>
        <v>0</v>
      </c>
      <c r="R77" s="4">
        <f t="shared" si="21"/>
        <v>-5.5511151231257827E-16</v>
      </c>
      <c r="S77" s="4">
        <f t="shared" si="21"/>
        <v>-1.1102230246251565E-15</v>
      </c>
      <c r="T77" s="4">
        <f t="shared" si="21"/>
        <v>-8.8817841970012523E-16</v>
      </c>
      <c r="U77" s="4">
        <f t="shared" si="21"/>
        <v>-8.8817841970012523E-16</v>
      </c>
      <c r="V77" s="4">
        <f t="shared" si="21"/>
        <v>-1.9984014443252818E-15</v>
      </c>
      <c r="W77" s="4">
        <f t="shared" si="21"/>
        <v>-6.6613381477509392E-16</v>
      </c>
      <c r="X77" s="7" t="str">
        <f t="shared" si="21"/>
        <v/>
      </c>
    </row>
    <row r="78" spans="1:24" x14ac:dyDescent="0.25">
      <c r="A78" s="2">
        <v>15</v>
      </c>
      <c r="B78" s="4">
        <f>IF(15&lt;=N,(15-0.5)*dx,"")</f>
        <v>0.69047619047619047</v>
      </c>
      <c r="D78" s="7" t="str">
        <f t="shared" ref="D78:X78" si="22">IF(COUNT(C22,E22,D49,D51)&lt;4,"",(E22-C22)/(2*dx)+(D51-D49)/(2*dx))</f>
        <v/>
      </c>
      <c r="E78" s="4">
        <f t="shared" si="22"/>
        <v>-1.7763568394002505E-15</v>
      </c>
      <c r="F78" s="4">
        <f t="shared" si="22"/>
        <v>-4.4408920985006262E-16</v>
      </c>
      <c r="G78" s="4">
        <f t="shared" si="22"/>
        <v>-1.1102230246251565E-15</v>
      </c>
      <c r="H78" s="4">
        <f t="shared" si="22"/>
        <v>-6.6613381477509392E-16</v>
      </c>
      <c r="I78" s="4">
        <f t="shared" si="22"/>
        <v>-1.1102230246251565E-15</v>
      </c>
      <c r="J78" s="4">
        <f t="shared" si="22"/>
        <v>-1.7763568394002505E-15</v>
      </c>
      <c r="K78" s="4">
        <f t="shared" si="22"/>
        <v>1.2212453270876722E-15</v>
      </c>
      <c r="L78" s="4">
        <f t="shared" si="22"/>
        <v>0</v>
      </c>
      <c r="M78" s="4">
        <f t="shared" si="22"/>
        <v>-7.2164496600635175E-16</v>
      </c>
      <c r="N78" s="4">
        <f t="shared" si="22"/>
        <v>1.0800470535289775E-16</v>
      </c>
      <c r="O78" s="4">
        <f t="shared" si="22"/>
        <v>9.9920072216264089E-16</v>
      </c>
      <c r="P78" s="4">
        <f t="shared" si="22"/>
        <v>2.2204460492503131E-16</v>
      </c>
      <c r="Q78" s="4">
        <f t="shared" si="22"/>
        <v>5.5511151231257827E-16</v>
      </c>
      <c r="R78" s="4">
        <f t="shared" si="22"/>
        <v>0</v>
      </c>
      <c r="S78" s="4">
        <f t="shared" si="22"/>
        <v>0</v>
      </c>
      <c r="T78" s="4">
        <f t="shared" si="22"/>
        <v>0</v>
      </c>
      <c r="U78" s="4">
        <f t="shared" si="22"/>
        <v>0</v>
      </c>
      <c r="V78" s="4">
        <f t="shared" si="22"/>
        <v>8.8817841970012523E-16</v>
      </c>
      <c r="W78" s="4">
        <f t="shared" si="22"/>
        <v>8.8817841970012523E-16</v>
      </c>
      <c r="X78" s="7" t="str">
        <f t="shared" si="22"/>
        <v/>
      </c>
    </row>
    <row r="79" spans="1:24" x14ac:dyDescent="0.25">
      <c r="A79" s="2">
        <v>16</v>
      </c>
      <c r="B79" s="4">
        <f>IF(16&lt;=N,(16-0.5)*dx,"")</f>
        <v>0.73809523809523803</v>
      </c>
      <c r="D79" s="7" t="str">
        <f t="shared" ref="D79:X79" si="23">IF(COUNT(C23,E23,D50,D52)&lt;4,"",(E23-C23)/(2*dx)+(D52-D50)/(2*dx))</f>
        <v/>
      </c>
      <c r="E79" s="4">
        <f t="shared" si="23"/>
        <v>-4.4408920985006262E-16</v>
      </c>
      <c r="F79" s="4">
        <f t="shared" si="23"/>
        <v>0</v>
      </c>
      <c r="G79" s="4">
        <f t="shared" si="23"/>
        <v>2.2204460492503131E-16</v>
      </c>
      <c r="H79" s="4">
        <f t="shared" si="23"/>
        <v>-6.6613381477509392E-16</v>
      </c>
      <c r="I79" s="4">
        <f t="shared" si="23"/>
        <v>-6.6613381477509392E-16</v>
      </c>
      <c r="J79" s="4">
        <f t="shared" si="23"/>
        <v>-6.6613381477509392E-16</v>
      </c>
      <c r="K79" s="4">
        <f t="shared" si="23"/>
        <v>5.5511151231257827E-16</v>
      </c>
      <c r="L79" s="4">
        <f t="shared" si="23"/>
        <v>-3.3306690738754696E-16</v>
      </c>
      <c r="M79" s="4">
        <f t="shared" si="23"/>
        <v>0</v>
      </c>
      <c r="N79" s="4">
        <f t="shared" si="23"/>
        <v>1.3040873492867008E-16</v>
      </c>
      <c r="O79" s="4">
        <f t="shared" si="23"/>
        <v>7.2164496600635175E-16</v>
      </c>
      <c r="P79" s="4">
        <f t="shared" si="23"/>
        <v>-8.8817841970012523E-16</v>
      </c>
      <c r="Q79" s="4">
        <f t="shared" si="23"/>
        <v>1.1102230246251565E-15</v>
      </c>
      <c r="R79" s="4">
        <f t="shared" si="23"/>
        <v>0</v>
      </c>
      <c r="S79" s="4">
        <f t="shared" si="23"/>
        <v>0</v>
      </c>
      <c r="T79" s="4">
        <f t="shared" si="23"/>
        <v>-4.4408920985006262E-16</v>
      </c>
      <c r="U79" s="4">
        <f t="shared" si="23"/>
        <v>-4.4408920985006262E-16</v>
      </c>
      <c r="V79" s="4">
        <f t="shared" si="23"/>
        <v>0</v>
      </c>
      <c r="W79" s="4">
        <f t="shared" si="23"/>
        <v>4.4408920985006262E-16</v>
      </c>
      <c r="X79" s="7" t="str">
        <f t="shared" si="23"/>
        <v/>
      </c>
    </row>
    <row r="80" spans="1:24" x14ac:dyDescent="0.25">
      <c r="A80" s="2">
        <v>17</v>
      </c>
      <c r="B80" s="4">
        <f>IF(17&lt;=N,(17-0.5)*dx,"")</f>
        <v>0.7857142857142857</v>
      </c>
      <c r="D80" s="7" t="str">
        <f t="shared" ref="D80:X80" si="24">IF(COUNT(C24,E24,D51,D53)&lt;4,"",(E24-C24)/(2*dx)+(D53-D51)/(2*dx))</f>
        <v/>
      </c>
      <c r="E80" s="4">
        <f t="shared" si="24"/>
        <v>-1.3322676295501878E-15</v>
      </c>
      <c r="F80" s="4">
        <f t="shared" si="24"/>
        <v>-2.2204460492503131E-15</v>
      </c>
      <c r="G80" s="4">
        <f t="shared" si="24"/>
        <v>-1.3322676295501878E-15</v>
      </c>
      <c r="H80" s="4">
        <f t="shared" si="24"/>
        <v>-1.1102230246251565E-15</v>
      </c>
      <c r="I80" s="4">
        <f t="shared" si="24"/>
        <v>-2.4424906541753444E-15</v>
      </c>
      <c r="J80" s="4">
        <f t="shared" si="24"/>
        <v>-1.7763568394002505E-15</v>
      </c>
      <c r="K80" s="4">
        <f t="shared" si="24"/>
        <v>6.6613381477509392E-16</v>
      </c>
      <c r="L80" s="4">
        <f t="shared" si="24"/>
        <v>-1.4432899320127035E-15</v>
      </c>
      <c r="M80" s="4">
        <f t="shared" si="24"/>
        <v>-2.7755575615628914E-16</v>
      </c>
      <c r="N80" s="4">
        <f t="shared" si="24"/>
        <v>1.4989964886008346E-16</v>
      </c>
      <c r="O80" s="4">
        <f t="shared" si="24"/>
        <v>1.1657341758564144E-15</v>
      </c>
      <c r="P80" s="4">
        <f t="shared" si="24"/>
        <v>5.5511151231257827E-16</v>
      </c>
      <c r="Q80" s="4">
        <f t="shared" si="24"/>
        <v>8.8817841970012523E-16</v>
      </c>
      <c r="R80" s="4">
        <f t="shared" si="24"/>
        <v>0</v>
      </c>
      <c r="S80" s="4">
        <f t="shared" si="24"/>
        <v>4.4408920985006262E-16</v>
      </c>
      <c r="T80" s="4">
        <f t="shared" si="24"/>
        <v>0</v>
      </c>
      <c r="U80" s="4">
        <f t="shared" si="24"/>
        <v>8.8817841970012523E-16</v>
      </c>
      <c r="V80" s="4">
        <f t="shared" si="24"/>
        <v>8.8817841970012523E-16</v>
      </c>
      <c r="W80" s="4">
        <f t="shared" si="24"/>
        <v>8.8817841970012523E-16</v>
      </c>
      <c r="X80" s="7" t="str">
        <f t="shared" si="24"/>
        <v/>
      </c>
    </row>
    <row r="81" spans="1:24" x14ac:dyDescent="0.25">
      <c r="A81" s="2">
        <v>18</v>
      </c>
      <c r="B81" s="4">
        <f>IF(18&lt;=N,(18-0.5)*dx,"")</f>
        <v>0.83333333333333326</v>
      </c>
      <c r="D81" s="7" t="str">
        <f t="shared" ref="D81:X81" si="25">IF(COUNT(C25,E25,D52,D54)&lt;4,"",(E25-C25)/(2*dx)+(D54-D52)/(2*dx))</f>
        <v/>
      </c>
      <c r="E81" s="4">
        <f t="shared" si="25"/>
        <v>-8.8817841970012523E-16</v>
      </c>
      <c r="F81" s="4">
        <f t="shared" si="25"/>
        <v>-1.3322676295501878E-15</v>
      </c>
      <c r="G81" s="4">
        <f t="shared" si="25"/>
        <v>-1.3322676295501878E-15</v>
      </c>
      <c r="H81" s="4">
        <f t="shared" si="25"/>
        <v>0</v>
      </c>
      <c r="I81" s="4">
        <f t="shared" si="25"/>
        <v>-1.7763568394002505E-15</v>
      </c>
      <c r="J81" s="4">
        <f t="shared" si="25"/>
        <v>-1.7763568394002505E-15</v>
      </c>
      <c r="K81" s="4">
        <f t="shared" si="25"/>
        <v>8.8817841970012523E-16</v>
      </c>
      <c r="L81" s="4">
        <f t="shared" si="25"/>
        <v>-5.5511151231257827E-16</v>
      </c>
      <c r="M81" s="4">
        <f t="shared" si="25"/>
        <v>-4.9960036108132044E-16</v>
      </c>
      <c r="N81" s="4">
        <f t="shared" si="25"/>
        <v>1.6604205233767593E-16</v>
      </c>
      <c r="O81" s="4">
        <f t="shared" si="25"/>
        <v>1.3877787807814457E-15</v>
      </c>
      <c r="P81" s="4">
        <f t="shared" si="25"/>
        <v>0</v>
      </c>
      <c r="Q81" s="4">
        <f t="shared" si="25"/>
        <v>8.8817841970012523E-16</v>
      </c>
      <c r="R81" s="4">
        <f t="shared" si="25"/>
        <v>0</v>
      </c>
      <c r="S81" s="4">
        <f t="shared" si="25"/>
        <v>4.4408920985006262E-16</v>
      </c>
      <c r="T81" s="4">
        <f t="shared" si="25"/>
        <v>-8.8817841970012523E-16</v>
      </c>
      <c r="U81" s="4">
        <f t="shared" si="25"/>
        <v>0</v>
      </c>
      <c r="V81" s="4">
        <f t="shared" si="25"/>
        <v>-4.4408920985006262E-16</v>
      </c>
      <c r="W81" s="4">
        <f t="shared" si="25"/>
        <v>-4.4408920985006262E-16</v>
      </c>
      <c r="X81" s="7" t="str">
        <f t="shared" si="25"/>
        <v/>
      </c>
    </row>
    <row r="82" spans="1:24" x14ac:dyDescent="0.25">
      <c r="A82" s="2">
        <v>19</v>
      </c>
      <c r="B82" s="4">
        <f>IF(19&lt;=N,(19-0.5)*dx,"")</f>
        <v>0.88095238095238093</v>
      </c>
      <c r="D82" s="7" t="str">
        <f t="shared" ref="D82:X82" si="26">IF(COUNT(C26,E26,D53,D55)&lt;4,"",(E26-C26)/(2*dx)+(D55-D53)/(2*dx))</f>
        <v/>
      </c>
      <c r="E82" s="4">
        <f t="shared" si="26"/>
        <v>-1.7763568394002505E-15</v>
      </c>
      <c r="F82" s="4">
        <f t="shared" si="26"/>
        <v>-4.4408920985006262E-16</v>
      </c>
      <c r="G82" s="4">
        <f t="shared" si="26"/>
        <v>-1.3322676295501878E-15</v>
      </c>
      <c r="H82" s="4">
        <f t="shared" si="26"/>
        <v>-8.8817841970012523E-16</v>
      </c>
      <c r="I82" s="4">
        <f t="shared" si="26"/>
        <v>-1.1102230246251565E-15</v>
      </c>
      <c r="J82" s="4">
        <f t="shared" si="26"/>
        <v>-6.6613381477509392E-16</v>
      </c>
      <c r="K82" s="4">
        <f t="shared" si="26"/>
        <v>0</v>
      </c>
      <c r="L82" s="4">
        <f t="shared" si="26"/>
        <v>-8.8817841970012523E-16</v>
      </c>
      <c r="M82" s="4">
        <f t="shared" si="26"/>
        <v>3.3306690738754696E-16</v>
      </c>
      <c r="N82" s="4">
        <f t="shared" si="26"/>
        <v>1.7847535074227674E-16</v>
      </c>
      <c r="O82" s="4">
        <f t="shared" si="26"/>
        <v>7.2164496600635175E-16</v>
      </c>
      <c r="P82" s="4">
        <f t="shared" si="26"/>
        <v>0</v>
      </c>
      <c r="Q82" s="4">
        <f t="shared" si="26"/>
        <v>1.9984014443252818E-15</v>
      </c>
      <c r="R82" s="4">
        <f t="shared" si="26"/>
        <v>-8.8817841970012523E-16</v>
      </c>
      <c r="S82" s="4">
        <f t="shared" si="26"/>
        <v>0</v>
      </c>
      <c r="T82" s="4">
        <f t="shared" si="26"/>
        <v>-8.8817841970012523E-16</v>
      </c>
      <c r="U82" s="4">
        <f t="shared" si="26"/>
        <v>4.4408920985006262E-16</v>
      </c>
      <c r="V82" s="4">
        <f t="shared" si="26"/>
        <v>0</v>
      </c>
      <c r="W82" s="4">
        <f t="shared" si="26"/>
        <v>4.4408920985006262E-16</v>
      </c>
      <c r="X82" s="7" t="str">
        <f t="shared" si="26"/>
        <v/>
      </c>
    </row>
    <row r="83" spans="1:24" x14ac:dyDescent="0.25">
      <c r="A83" s="2">
        <v>20</v>
      </c>
      <c r="B83" s="4">
        <f>IF(20&lt;=N,(20-0.5)*dx,"")</f>
        <v>0.92857142857142849</v>
      </c>
      <c r="D83" s="7" t="str">
        <f t="shared" ref="D83:X83" si="27">IF(COUNT(C27,E27,D54,D56)&lt;4,"",(E27-C27)/(2*dx)+(D56-D54)/(2*dx))</f>
        <v/>
      </c>
      <c r="E83" s="4">
        <f t="shared" si="27"/>
        <v>-1.7763568394002505E-15</v>
      </c>
      <c r="F83" s="4">
        <f t="shared" si="27"/>
        <v>-1.3322676295501878E-15</v>
      </c>
      <c r="G83" s="4">
        <f t="shared" si="27"/>
        <v>-1.3322676295501878E-15</v>
      </c>
      <c r="H83" s="4">
        <f t="shared" si="27"/>
        <v>-8.8817841970012523E-16</v>
      </c>
      <c r="I83" s="4">
        <f t="shared" si="27"/>
        <v>-8.8817841970012523E-16</v>
      </c>
      <c r="J83" s="4">
        <f t="shared" si="27"/>
        <v>-8.8817841970012523E-16</v>
      </c>
      <c r="K83" s="4">
        <f t="shared" si="27"/>
        <v>1.3322676295501878E-15</v>
      </c>
      <c r="L83" s="4">
        <f t="shared" si="27"/>
        <v>-1.7763568394002505E-15</v>
      </c>
      <c r="M83" s="4">
        <f t="shared" si="27"/>
        <v>-7.2164496600635175E-16</v>
      </c>
      <c r="N83" s="4">
        <f t="shared" si="27"/>
        <v>1.8692180473293435E-16</v>
      </c>
      <c r="O83" s="4">
        <f t="shared" si="27"/>
        <v>1.7763568394002505E-15</v>
      </c>
      <c r="P83" s="4">
        <f t="shared" si="27"/>
        <v>7.7715611723760958E-16</v>
      </c>
      <c r="Q83" s="4">
        <f t="shared" si="27"/>
        <v>6.6613381477509392E-16</v>
      </c>
      <c r="R83" s="4">
        <f t="shared" si="27"/>
        <v>-8.8817841970012523E-16</v>
      </c>
      <c r="S83" s="4">
        <f t="shared" si="27"/>
        <v>-4.4408920985006262E-16</v>
      </c>
      <c r="T83" s="4">
        <f t="shared" si="27"/>
        <v>-8.8817841970012523E-16</v>
      </c>
      <c r="U83" s="4">
        <f t="shared" si="27"/>
        <v>4.4408920985006262E-16</v>
      </c>
      <c r="V83" s="4">
        <f t="shared" si="27"/>
        <v>-4.4408920985006262E-16</v>
      </c>
      <c r="W83" s="4">
        <f t="shared" si="27"/>
        <v>0</v>
      </c>
      <c r="X83" s="7" t="str">
        <f t="shared" si="27"/>
        <v/>
      </c>
    </row>
    <row r="84" spans="1:24" x14ac:dyDescent="0.25">
      <c r="A84" s="2">
        <v>21</v>
      </c>
      <c r="B84" s="4">
        <f>IF(21&lt;=N,(21-0.5)*dx,"")</f>
        <v>0.97619047619047616</v>
      </c>
      <c r="D84" s="7" t="str">
        <f t="shared" ref="D84:X84" si="28">IF(COUNT(C28,E28,D55,D57)&lt;4,"",(E28-C28)/(2*dx)+(D57-D55)/(2*dx))</f>
        <v/>
      </c>
      <c r="E84" s="7" t="str">
        <f t="shared" si="28"/>
        <v/>
      </c>
      <c r="F84" s="7" t="str">
        <f t="shared" si="28"/>
        <v/>
      </c>
      <c r="G84" s="7" t="str">
        <f t="shared" si="28"/>
        <v/>
      </c>
      <c r="H84" s="7" t="str">
        <f t="shared" si="28"/>
        <v/>
      </c>
      <c r="I84" s="7" t="str">
        <f t="shared" si="28"/>
        <v/>
      </c>
      <c r="J84" s="7" t="str">
        <f t="shared" si="28"/>
        <v/>
      </c>
      <c r="K84" s="7" t="str">
        <f t="shared" si="28"/>
        <v/>
      </c>
      <c r="L84" s="7" t="str">
        <f t="shared" si="28"/>
        <v/>
      </c>
      <c r="M84" s="7" t="str">
        <f t="shared" si="28"/>
        <v/>
      </c>
      <c r="N84" s="7" t="str">
        <f t="shared" si="28"/>
        <v/>
      </c>
      <c r="O84" s="7" t="str">
        <f t="shared" si="28"/>
        <v/>
      </c>
      <c r="P84" s="7" t="str">
        <f t="shared" si="28"/>
        <v/>
      </c>
      <c r="Q84" s="7" t="str">
        <f t="shared" si="28"/>
        <v/>
      </c>
      <c r="R84" s="7" t="str">
        <f t="shared" si="28"/>
        <v/>
      </c>
      <c r="S84" s="7" t="str">
        <f t="shared" si="28"/>
        <v/>
      </c>
      <c r="T84" s="7" t="str">
        <f t="shared" si="28"/>
        <v/>
      </c>
      <c r="U84" s="7" t="str">
        <f t="shared" si="28"/>
        <v/>
      </c>
      <c r="V84" s="7" t="str">
        <f t="shared" si="28"/>
        <v/>
      </c>
      <c r="W84" s="7" t="str">
        <f t="shared" si="28"/>
        <v/>
      </c>
      <c r="X84" s="7" t="str">
        <f t="shared" si="28"/>
        <v/>
      </c>
    </row>
    <row r="88" spans="1:24" ht="15.75" x14ac:dyDescent="0.25">
      <c r="A88" s="5" t="s">
        <v>54</v>
      </c>
    </row>
    <row r="89" spans="1:24" x14ac:dyDescent="0.25">
      <c r="A89" s="2" t="s">
        <v>48</v>
      </c>
      <c r="D89" s="2">
        <v>1</v>
      </c>
      <c r="E89" s="2">
        <v>2</v>
      </c>
      <c r="F89" s="2">
        <v>3</v>
      </c>
      <c r="G89" s="2">
        <v>4</v>
      </c>
      <c r="H89" s="2">
        <v>5</v>
      </c>
      <c r="I89" s="2">
        <v>6</v>
      </c>
      <c r="J89" s="2">
        <v>7</v>
      </c>
      <c r="K89" s="2">
        <v>8</v>
      </c>
      <c r="L89" s="2">
        <v>9</v>
      </c>
      <c r="M89" s="2">
        <v>10</v>
      </c>
      <c r="N89" s="2">
        <v>11</v>
      </c>
      <c r="O89" s="2">
        <v>12</v>
      </c>
      <c r="P89" s="2">
        <v>13</v>
      </c>
      <c r="Q89" s="2">
        <v>14</v>
      </c>
      <c r="R89" s="2">
        <v>15</v>
      </c>
      <c r="S89" s="2">
        <v>16</v>
      </c>
      <c r="T89" s="2">
        <v>17</v>
      </c>
      <c r="U89" s="2">
        <v>18</v>
      </c>
      <c r="V89" s="2">
        <v>19</v>
      </c>
      <c r="W89" s="2">
        <v>20</v>
      </c>
      <c r="X89" s="2">
        <v>21</v>
      </c>
    </row>
    <row r="90" spans="1:24" x14ac:dyDescent="0.25">
      <c r="A90" s="2" t="s">
        <v>49</v>
      </c>
      <c r="D90" s="4">
        <f>IF(1&lt;=N,(1-0.5)*dx,"")</f>
        <v>2.3809523809523808E-2</v>
      </c>
      <c r="E90" s="4">
        <f>IF(2&lt;=N,(2-0.5)*dx,"")</f>
        <v>7.1428571428571425E-2</v>
      </c>
      <c r="F90" s="4">
        <f>IF(3&lt;=N,(3-0.5)*dx,"")</f>
        <v>0.11904761904761904</v>
      </c>
      <c r="G90" s="4">
        <f>IF(4&lt;=N,(4-0.5)*dx,"")</f>
        <v>0.16666666666666666</v>
      </c>
      <c r="H90" s="4">
        <f>IF(5&lt;=N,(5-0.5)*dx,"")</f>
        <v>0.21428571428571427</v>
      </c>
      <c r="I90" s="4">
        <f>IF(6&lt;=N,(6-0.5)*dx,"")</f>
        <v>0.26190476190476186</v>
      </c>
      <c r="J90" s="4">
        <f>IF(7&lt;=N,(7-0.5)*dx,"")</f>
        <v>0.30952380952380953</v>
      </c>
      <c r="K90" s="4">
        <f>IF(8&lt;=N,(8-0.5)*dx,"")</f>
        <v>0.3571428571428571</v>
      </c>
      <c r="L90" s="4">
        <f>IF(9&lt;=N,(9-0.5)*dx,"")</f>
        <v>0.40476190476190477</v>
      </c>
      <c r="M90" s="4">
        <f>IF(10&lt;=N,(10-0.5)*dx,"")</f>
        <v>0.45238095238095233</v>
      </c>
      <c r="N90" s="4">
        <f>IF(11&lt;=N,(11-0.5)*dx,"")</f>
        <v>0.5</v>
      </c>
      <c r="O90" s="4">
        <f>IF(12&lt;=N,(12-0.5)*dx,"")</f>
        <v>0.54761904761904756</v>
      </c>
      <c r="P90" s="4">
        <f>IF(13&lt;=N,(13-0.5)*dx,"")</f>
        <v>0.59523809523809523</v>
      </c>
      <c r="Q90" s="4">
        <f>IF(14&lt;=N,(14-0.5)*dx,"")</f>
        <v>0.64285714285714279</v>
      </c>
      <c r="R90" s="4">
        <f>IF(15&lt;=N,(15-0.5)*dx,"")</f>
        <v>0.69047619047619047</v>
      </c>
      <c r="S90" s="4">
        <f>IF(16&lt;=N,(16-0.5)*dx,"")</f>
        <v>0.73809523809523803</v>
      </c>
      <c r="T90" s="4">
        <f>IF(17&lt;=N,(17-0.5)*dx,"")</f>
        <v>0.7857142857142857</v>
      </c>
      <c r="U90" s="4">
        <f>IF(18&lt;=N,(18-0.5)*dx,"")</f>
        <v>0.83333333333333326</v>
      </c>
      <c r="V90" s="4">
        <f>IF(19&lt;=N,(19-0.5)*dx,"")</f>
        <v>0.88095238095238093</v>
      </c>
      <c r="W90" s="4">
        <f>IF(20&lt;=N,(20-0.5)*dx,"")</f>
        <v>0.92857142857142849</v>
      </c>
      <c r="X90" s="4">
        <f>IF(21&lt;=N,(21-0.5)*dx,"")</f>
        <v>0.97619047619047616</v>
      </c>
    </row>
    <row r="91" spans="1:24" x14ac:dyDescent="0.25">
      <c r="A91" s="2" t="s">
        <v>50</v>
      </c>
      <c r="B91" s="2" t="s">
        <v>51</v>
      </c>
    </row>
    <row r="92" spans="1:24" x14ac:dyDescent="0.25">
      <c r="A92" s="2">
        <v>1</v>
      </c>
      <c r="B92" s="4">
        <f>IF(1&lt;=N,(1-0.5)*dx,"")</f>
        <v>2.3809523809523808E-2</v>
      </c>
      <c r="D92" s="7">
        <f t="shared" ref="D92:M101" si="29">IF(COUNT($B92,D$90)&lt;2,"",U0*SIN(PI()*D$90/L)*SIN(PI()*$B92/L))</f>
        <v>5.5845868874357255E-3</v>
      </c>
      <c r="E92" s="7">
        <f t="shared" si="29"/>
        <v>1.6629010219493902E-2</v>
      </c>
      <c r="F92" s="7">
        <f t="shared" si="29"/>
        <v>2.7301968941860797E-2</v>
      </c>
      <c r="G92" s="7">
        <f t="shared" si="29"/>
        <v>3.7365046793212113E-2</v>
      </c>
      <c r="H92" s="7">
        <f t="shared" si="29"/>
        <v>4.6593451243084262E-2</v>
      </c>
      <c r="I92" s="7">
        <f t="shared" si="29"/>
        <v>5.478103498554638E-2</v>
      </c>
      <c r="J92" s="7">
        <f t="shared" si="29"/>
        <v>6.1744900929366756E-2</v>
      </c>
      <c r="K92" s="7">
        <f t="shared" si="29"/>
        <v>6.7329487816802466E-2</v>
      </c>
      <c r="L92" s="7">
        <f t="shared" si="29"/>
        <v>7.1410045205040282E-2</v>
      </c>
      <c r="M92" s="7">
        <f t="shared" si="29"/>
        <v>7.3895420184945063E-2</v>
      </c>
      <c r="N92" s="7">
        <f t="shared" ref="N92:X101" si="30">IF(COUNT($B92,N$90)&lt;2,"",U0*SIN(PI()*N$90/L)*SIN(PI()*$B92/L))</f>
        <v>7.473009358642424E-2</v>
      </c>
      <c r="O92" s="7">
        <f t="shared" si="30"/>
        <v>7.3895420184945063E-2</v>
      </c>
      <c r="P92" s="7">
        <f t="shared" si="30"/>
        <v>7.1410045205040282E-2</v>
      </c>
      <c r="Q92" s="7">
        <f t="shared" si="30"/>
        <v>6.732948781680248E-2</v>
      </c>
      <c r="R92" s="7">
        <f t="shared" si="30"/>
        <v>6.1744900929366749E-2</v>
      </c>
      <c r="S92" s="7">
        <f t="shared" si="30"/>
        <v>5.4781034985546401E-2</v>
      </c>
      <c r="T92" s="7">
        <f t="shared" si="30"/>
        <v>4.6593451243084269E-2</v>
      </c>
      <c r="U92" s="7">
        <f t="shared" si="30"/>
        <v>3.7365046793212148E-2</v>
      </c>
      <c r="V92" s="7">
        <f t="shared" si="30"/>
        <v>2.7301968941860818E-2</v>
      </c>
      <c r="W92" s="7">
        <f t="shared" si="30"/>
        <v>1.6629010219493943E-2</v>
      </c>
      <c r="X92" s="7">
        <f t="shared" si="30"/>
        <v>5.5845868874357576E-3</v>
      </c>
    </row>
    <row r="93" spans="1:24" x14ac:dyDescent="0.25">
      <c r="A93" s="2">
        <v>2</v>
      </c>
      <c r="B93" s="4">
        <f>IF(2&lt;=N,(2-0.5)*dx,"")</f>
        <v>7.1428571428571425E-2</v>
      </c>
      <c r="D93" s="7">
        <f t="shared" si="29"/>
        <v>1.6629010219493902E-2</v>
      </c>
      <c r="E93" s="4">
        <f t="shared" si="29"/>
        <v>4.9515566048790434E-2</v>
      </c>
      <c r="F93" s="4">
        <f t="shared" si="29"/>
        <v>8.1296025954566822E-2</v>
      </c>
      <c r="G93" s="4">
        <f t="shared" si="29"/>
        <v>0.11126046697815718</v>
      </c>
      <c r="H93" s="4">
        <f t="shared" si="29"/>
        <v>0.13873953302184278</v>
      </c>
      <c r="I93" s="4">
        <f t="shared" si="29"/>
        <v>0.1631193871579974</v>
      </c>
      <c r="J93" s="4">
        <f t="shared" si="29"/>
        <v>0.18385542373171565</v>
      </c>
      <c r="K93" s="4">
        <f t="shared" si="29"/>
        <v>0.20048443395120955</v>
      </c>
      <c r="L93" s="4">
        <f t="shared" si="29"/>
        <v>0.21263495320678785</v>
      </c>
      <c r="M93" s="4">
        <f t="shared" si="29"/>
        <v>0.22003555897640961</v>
      </c>
      <c r="N93" s="4">
        <f t="shared" si="30"/>
        <v>0.22252093395631439</v>
      </c>
      <c r="O93" s="4">
        <f t="shared" si="30"/>
        <v>0.22003555897640961</v>
      </c>
      <c r="P93" s="4">
        <f t="shared" si="30"/>
        <v>0.21263495320678785</v>
      </c>
      <c r="Q93" s="4">
        <f t="shared" si="30"/>
        <v>0.20048443395120955</v>
      </c>
      <c r="R93" s="4">
        <f t="shared" si="30"/>
        <v>0.18385542373171562</v>
      </c>
      <c r="S93" s="4">
        <f t="shared" si="30"/>
        <v>0.16311938715799745</v>
      </c>
      <c r="T93" s="4">
        <f t="shared" si="30"/>
        <v>0.1387395330218428</v>
      </c>
      <c r="U93" s="4">
        <f t="shared" si="30"/>
        <v>0.11126046697815727</v>
      </c>
      <c r="V93" s="4">
        <f t="shared" si="30"/>
        <v>8.1296025954566892E-2</v>
      </c>
      <c r="W93" s="4">
        <f t="shared" si="30"/>
        <v>4.9515566048790552E-2</v>
      </c>
      <c r="X93" s="7">
        <f t="shared" si="30"/>
        <v>1.6629010219493999E-2</v>
      </c>
    </row>
    <row r="94" spans="1:24" x14ac:dyDescent="0.25">
      <c r="A94" s="2">
        <v>3</v>
      </c>
      <c r="B94" s="4">
        <f>IF(3&lt;=N,(3-0.5)*dx,"")</f>
        <v>0.11904761904761904</v>
      </c>
      <c r="D94" s="7">
        <f t="shared" si="29"/>
        <v>2.7301968941860797E-2</v>
      </c>
      <c r="E94" s="4">
        <f t="shared" si="29"/>
        <v>8.1296025954566822E-2</v>
      </c>
      <c r="F94" s="4">
        <f t="shared" si="29"/>
        <v>0.1334740640850868</v>
      </c>
      <c r="G94" s="4">
        <f t="shared" si="29"/>
        <v>0.18267051218319746</v>
      </c>
      <c r="H94" s="4">
        <f t="shared" si="29"/>
        <v>0.22778640289307034</v>
      </c>
      <c r="I94" s="4">
        <f t="shared" si="29"/>
        <v>0.267813921768012</v>
      </c>
      <c r="J94" s="4">
        <f t="shared" si="29"/>
        <v>0.30185892017984023</v>
      </c>
      <c r="K94" s="4">
        <f t="shared" si="29"/>
        <v>0.32916088912170099</v>
      </c>
      <c r="L94" s="4">
        <f t="shared" si="29"/>
        <v>0.34910994772257886</v>
      </c>
      <c r="M94" s="4">
        <f t="shared" si="29"/>
        <v>0.36126046697815717</v>
      </c>
      <c r="N94" s="4">
        <f t="shared" si="30"/>
        <v>0.36534102436639498</v>
      </c>
      <c r="O94" s="4">
        <f t="shared" si="30"/>
        <v>0.36126046697815717</v>
      </c>
      <c r="P94" s="4">
        <f t="shared" si="30"/>
        <v>0.34910994772257886</v>
      </c>
      <c r="Q94" s="4">
        <f t="shared" si="30"/>
        <v>0.32916088912170099</v>
      </c>
      <c r="R94" s="4">
        <f t="shared" si="30"/>
        <v>0.30185892017984017</v>
      </c>
      <c r="S94" s="4">
        <f t="shared" si="30"/>
        <v>0.26781392176801205</v>
      </c>
      <c r="T94" s="4">
        <f t="shared" si="30"/>
        <v>0.22778640289307037</v>
      </c>
      <c r="U94" s="4">
        <f t="shared" si="30"/>
        <v>0.1826705121831976</v>
      </c>
      <c r="V94" s="4">
        <f t="shared" si="30"/>
        <v>0.13347406408508691</v>
      </c>
      <c r="W94" s="4">
        <f t="shared" si="30"/>
        <v>8.1296025954567031E-2</v>
      </c>
      <c r="X94" s="7">
        <f t="shared" si="30"/>
        <v>2.7301968941860953E-2</v>
      </c>
    </row>
    <row r="95" spans="1:24" x14ac:dyDescent="0.25">
      <c r="A95" s="2">
        <v>4</v>
      </c>
      <c r="B95" s="4">
        <f>IF(4&lt;=N,(4-0.5)*dx,"")</f>
        <v>0.16666666666666666</v>
      </c>
      <c r="D95" s="7">
        <f t="shared" si="29"/>
        <v>3.7365046793212113E-2</v>
      </c>
      <c r="E95" s="4">
        <f t="shared" si="29"/>
        <v>0.11126046697815718</v>
      </c>
      <c r="F95" s="4">
        <f t="shared" si="29"/>
        <v>0.18267051218319746</v>
      </c>
      <c r="G95" s="4">
        <f t="shared" si="29"/>
        <v>0.24999999999999994</v>
      </c>
      <c r="H95" s="4">
        <f t="shared" si="29"/>
        <v>0.31174490092936669</v>
      </c>
      <c r="I95" s="4">
        <f t="shared" si="29"/>
        <v>0.36652593591491306</v>
      </c>
      <c r="J95" s="4">
        <f t="shared" si="29"/>
        <v>0.4131193871579974</v>
      </c>
      <c r="K95" s="4">
        <f t="shared" si="29"/>
        <v>0.45048443395120946</v>
      </c>
      <c r="L95" s="4">
        <f t="shared" si="29"/>
        <v>0.47778640289307028</v>
      </c>
      <c r="M95" s="4">
        <f t="shared" si="29"/>
        <v>0.49441541311256421</v>
      </c>
      <c r="N95" s="4">
        <f t="shared" si="30"/>
        <v>0.49999999999999994</v>
      </c>
      <c r="O95" s="4">
        <f t="shared" si="30"/>
        <v>0.49441541311256421</v>
      </c>
      <c r="P95" s="4">
        <f t="shared" si="30"/>
        <v>0.47778640289307028</v>
      </c>
      <c r="Q95" s="4">
        <f t="shared" si="30"/>
        <v>0.45048443395120952</v>
      </c>
      <c r="R95" s="4">
        <f t="shared" si="30"/>
        <v>0.41311938715799734</v>
      </c>
      <c r="S95" s="4">
        <f t="shared" si="30"/>
        <v>0.36652593591491317</v>
      </c>
      <c r="T95" s="4">
        <f t="shared" si="30"/>
        <v>0.31174490092936674</v>
      </c>
      <c r="U95" s="4">
        <f t="shared" si="30"/>
        <v>0.25000000000000011</v>
      </c>
      <c r="V95" s="4">
        <f t="shared" si="30"/>
        <v>0.1826705121831976</v>
      </c>
      <c r="W95" s="4">
        <f t="shared" si="30"/>
        <v>0.11126046697815746</v>
      </c>
      <c r="X95" s="7">
        <f t="shared" si="30"/>
        <v>3.7365046793212328E-2</v>
      </c>
    </row>
    <row r="96" spans="1:24" x14ac:dyDescent="0.25">
      <c r="A96" s="2">
        <v>5</v>
      </c>
      <c r="B96" s="4">
        <f>IF(5&lt;=N,(5-0.5)*dx,"")</f>
        <v>0.21428571428571427</v>
      </c>
      <c r="D96" s="7">
        <f t="shared" si="29"/>
        <v>4.6593451243084262E-2</v>
      </c>
      <c r="E96" s="4">
        <f t="shared" si="29"/>
        <v>0.13873953302184278</v>
      </c>
      <c r="F96" s="4">
        <f t="shared" si="29"/>
        <v>0.22778640289307034</v>
      </c>
      <c r="G96" s="4">
        <f t="shared" si="29"/>
        <v>0.31174490092936669</v>
      </c>
      <c r="H96" s="4">
        <f t="shared" si="29"/>
        <v>0.38873953302184272</v>
      </c>
      <c r="I96" s="4">
        <f t="shared" si="29"/>
        <v>0.45705036631935203</v>
      </c>
      <c r="J96" s="4">
        <f t="shared" si="29"/>
        <v>0.51515144968628246</v>
      </c>
      <c r="K96" s="4">
        <f t="shared" si="29"/>
        <v>0.56174490092936669</v>
      </c>
      <c r="L96" s="4">
        <f t="shared" si="29"/>
        <v>0.59578989934119486</v>
      </c>
      <c r="M96" s="4">
        <f t="shared" si="29"/>
        <v>0.61652593591491311</v>
      </c>
      <c r="N96" s="4">
        <f t="shared" si="30"/>
        <v>0.62348980185873348</v>
      </c>
      <c r="O96" s="4">
        <f t="shared" si="30"/>
        <v>0.61652593591491311</v>
      </c>
      <c r="P96" s="4">
        <f t="shared" si="30"/>
        <v>0.59578989934119486</v>
      </c>
      <c r="Q96" s="4">
        <f t="shared" si="30"/>
        <v>0.56174490092936669</v>
      </c>
      <c r="R96" s="4">
        <f t="shared" si="30"/>
        <v>0.51515144968628246</v>
      </c>
      <c r="S96" s="4">
        <f t="shared" si="30"/>
        <v>0.4570503663193522</v>
      </c>
      <c r="T96" s="4">
        <f t="shared" si="30"/>
        <v>0.38873953302184283</v>
      </c>
      <c r="U96" s="4">
        <f t="shared" si="30"/>
        <v>0.31174490092936696</v>
      </c>
      <c r="V96" s="4">
        <f t="shared" si="30"/>
        <v>0.22778640289307051</v>
      </c>
      <c r="W96" s="4">
        <f t="shared" si="30"/>
        <v>0.13873953302184314</v>
      </c>
      <c r="X96" s="7">
        <f t="shared" si="30"/>
        <v>4.6593451243084526E-2</v>
      </c>
    </row>
    <row r="97" spans="1:24" x14ac:dyDescent="0.25">
      <c r="A97" s="2">
        <v>6</v>
      </c>
      <c r="B97" s="4">
        <f>IF(6&lt;=N,(6-0.5)*dx,"")</f>
        <v>0.26190476190476186</v>
      </c>
      <c r="D97" s="7">
        <f t="shared" si="29"/>
        <v>5.478103498554638E-2</v>
      </c>
      <c r="E97" s="4">
        <f t="shared" si="29"/>
        <v>0.1631193871579974</v>
      </c>
      <c r="F97" s="4">
        <f t="shared" si="29"/>
        <v>0.267813921768012</v>
      </c>
      <c r="G97" s="4">
        <f t="shared" si="29"/>
        <v>0.36652593591491306</v>
      </c>
      <c r="H97" s="4">
        <f t="shared" si="29"/>
        <v>0.45705036631935203</v>
      </c>
      <c r="I97" s="4">
        <f t="shared" si="29"/>
        <v>0.53736504679321195</v>
      </c>
      <c r="J97" s="4">
        <f t="shared" si="29"/>
        <v>0.60567588009072137</v>
      </c>
      <c r="K97" s="4">
        <f t="shared" si="29"/>
        <v>0.66045691507626769</v>
      </c>
      <c r="L97" s="4">
        <f t="shared" si="29"/>
        <v>0.70048443395120941</v>
      </c>
      <c r="M97" s="4">
        <f t="shared" si="29"/>
        <v>0.72486428808736414</v>
      </c>
      <c r="N97" s="4">
        <f t="shared" si="30"/>
        <v>0.73305187182982623</v>
      </c>
      <c r="O97" s="4">
        <f t="shared" si="30"/>
        <v>0.72486428808736414</v>
      </c>
      <c r="P97" s="4">
        <f t="shared" si="30"/>
        <v>0.70048443395120941</v>
      </c>
      <c r="Q97" s="4">
        <f t="shared" si="30"/>
        <v>0.6604569150762678</v>
      </c>
      <c r="R97" s="4">
        <f t="shared" si="30"/>
        <v>0.60567588009072137</v>
      </c>
      <c r="S97" s="4">
        <f t="shared" si="30"/>
        <v>0.53736504679321218</v>
      </c>
      <c r="T97" s="4">
        <f t="shared" si="30"/>
        <v>0.45705036631935214</v>
      </c>
      <c r="U97" s="4">
        <f t="shared" si="30"/>
        <v>0.36652593591491334</v>
      </c>
      <c r="V97" s="4">
        <f t="shared" si="30"/>
        <v>0.26781392176801222</v>
      </c>
      <c r="W97" s="4">
        <f t="shared" si="30"/>
        <v>0.16311938715799781</v>
      </c>
      <c r="X97" s="7">
        <f t="shared" si="30"/>
        <v>5.4781034985546699E-2</v>
      </c>
    </row>
    <row r="98" spans="1:24" x14ac:dyDescent="0.25">
      <c r="A98" s="2">
        <v>7</v>
      </c>
      <c r="B98" s="4">
        <f>IF(7&lt;=N,(7-0.5)*dx,"")</f>
        <v>0.30952380952380953</v>
      </c>
      <c r="D98" s="7">
        <f t="shared" si="29"/>
        <v>6.1744900929366756E-2</v>
      </c>
      <c r="E98" s="4">
        <f t="shared" si="29"/>
        <v>0.18385542373171565</v>
      </c>
      <c r="F98" s="4">
        <f t="shared" si="29"/>
        <v>0.30185892017984023</v>
      </c>
      <c r="G98" s="4">
        <f t="shared" si="29"/>
        <v>0.4131193871579974</v>
      </c>
      <c r="H98" s="4">
        <f t="shared" si="29"/>
        <v>0.51515144968628246</v>
      </c>
      <c r="I98" s="4">
        <f t="shared" si="29"/>
        <v>0.60567588009072137</v>
      </c>
      <c r="J98" s="4">
        <f t="shared" si="29"/>
        <v>0.68267051218319752</v>
      </c>
      <c r="K98" s="4">
        <f t="shared" si="29"/>
        <v>0.74441541311256421</v>
      </c>
      <c r="L98" s="4">
        <f t="shared" si="29"/>
        <v>0.78953130382243708</v>
      </c>
      <c r="M98" s="4">
        <f t="shared" si="29"/>
        <v>0.81701036986612274</v>
      </c>
      <c r="N98" s="4">
        <f t="shared" si="30"/>
        <v>0.82623877431599491</v>
      </c>
      <c r="O98" s="4">
        <f t="shared" si="30"/>
        <v>0.81701036986612274</v>
      </c>
      <c r="P98" s="4">
        <f t="shared" si="30"/>
        <v>0.78953130382243708</v>
      </c>
      <c r="Q98" s="4">
        <f t="shared" si="30"/>
        <v>0.74441541311256432</v>
      </c>
      <c r="R98" s="4">
        <f t="shared" si="30"/>
        <v>0.68267051218319752</v>
      </c>
      <c r="S98" s="4">
        <f t="shared" si="30"/>
        <v>0.6056758800907216</v>
      </c>
      <c r="T98" s="4">
        <f t="shared" si="30"/>
        <v>0.51515144968628257</v>
      </c>
      <c r="U98" s="4">
        <f t="shared" si="30"/>
        <v>0.41311938715799773</v>
      </c>
      <c r="V98" s="4">
        <f t="shared" si="30"/>
        <v>0.30185892017984045</v>
      </c>
      <c r="W98" s="4">
        <f t="shared" si="30"/>
        <v>0.18385542373171612</v>
      </c>
      <c r="X98" s="7">
        <f t="shared" si="30"/>
        <v>6.1744900929367109E-2</v>
      </c>
    </row>
    <row r="99" spans="1:24" x14ac:dyDescent="0.25">
      <c r="A99" s="2">
        <v>8</v>
      </c>
      <c r="B99" s="4">
        <f>IF(8&lt;=N,(8-0.5)*dx,"")</f>
        <v>0.3571428571428571</v>
      </c>
      <c r="D99" s="7">
        <f t="shared" si="29"/>
        <v>6.7329487816802466E-2</v>
      </c>
      <c r="E99" s="4">
        <f t="shared" si="29"/>
        <v>0.20048443395120955</v>
      </c>
      <c r="F99" s="4">
        <f t="shared" si="29"/>
        <v>0.32916088912170099</v>
      </c>
      <c r="G99" s="4">
        <f t="shared" si="29"/>
        <v>0.45048443395120946</v>
      </c>
      <c r="H99" s="4">
        <f t="shared" si="29"/>
        <v>0.56174490092936669</v>
      </c>
      <c r="I99" s="4">
        <f t="shared" si="29"/>
        <v>0.66045691507626769</v>
      </c>
      <c r="J99" s="4">
        <f t="shared" si="29"/>
        <v>0.74441541311256421</v>
      </c>
      <c r="K99" s="4">
        <f t="shared" si="29"/>
        <v>0.81174490092936658</v>
      </c>
      <c r="L99" s="4">
        <f t="shared" si="29"/>
        <v>0.86094134902747732</v>
      </c>
      <c r="M99" s="4">
        <f t="shared" si="29"/>
        <v>0.89090579005106774</v>
      </c>
      <c r="N99" s="4">
        <f t="shared" si="30"/>
        <v>0.90096886790241903</v>
      </c>
      <c r="O99" s="4">
        <f t="shared" si="30"/>
        <v>0.89090579005106774</v>
      </c>
      <c r="P99" s="4">
        <f t="shared" si="30"/>
        <v>0.86094134902747732</v>
      </c>
      <c r="Q99" s="4">
        <f t="shared" si="30"/>
        <v>0.81174490092936669</v>
      </c>
      <c r="R99" s="4">
        <f t="shared" si="30"/>
        <v>0.74441541311256409</v>
      </c>
      <c r="S99" s="4">
        <f t="shared" si="30"/>
        <v>0.66045691507626791</v>
      </c>
      <c r="T99" s="4">
        <f t="shared" si="30"/>
        <v>0.5617449009293668</v>
      </c>
      <c r="U99" s="4">
        <f t="shared" si="30"/>
        <v>0.4504844339512098</v>
      </c>
      <c r="V99" s="4">
        <f t="shared" si="30"/>
        <v>0.32916088912170122</v>
      </c>
      <c r="W99" s="4">
        <f t="shared" si="30"/>
        <v>0.20048443395121004</v>
      </c>
      <c r="X99" s="7">
        <f t="shared" si="30"/>
        <v>6.7329487816802855E-2</v>
      </c>
    </row>
    <row r="100" spans="1:24" x14ac:dyDescent="0.25">
      <c r="A100" s="2">
        <v>9</v>
      </c>
      <c r="B100" s="4">
        <f>IF(9&lt;=N,(9-0.5)*dx,"")</f>
        <v>0.40476190476190477</v>
      </c>
      <c r="D100" s="7">
        <f t="shared" si="29"/>
        <v>7.1410045205040282E-2</v>
      </c>
      <c r="E100" s="4">
        <f t="shared" si="29"/>
        <v>0.21263495320678785</v>
      </c>
      <c r="F100" s="4">
        <f t="shared" si="29"/>
        <v>0.34910994772257886</v>
      </c>
      <c r="G100" s="4">
        <f t="shared" si="29"/>
        <v>0.47778640289307028</v>
      </c>
      <c r="H100" s="4">
        <f t="shared" si="29"/>
        <v>0.59578989934119486</v>
      </c>
      <c r="I100" s="4">
        <f t="shared" si="29"/>
        <v>0.70048443395120941</v>
      </c>
      <c r="J100" s="4">
        <f t="shared" si="29"/>
        <v>0.78953130382243708</v>
      </c>
      <c r="K100" s="4">
        <f t="shared" si="29"/>
        <v>0.86094134902747732</v>
      </c>
      <c r="L100" s="4">
        <f t="shared" si="29"/>
        <v>0.91311938715799734</v>
      </c>
      <c r="M100" s="4">
        <f t="shared" si="29"/>
        <v>0.94489984706377372</v>
      </c>
      <c r="N100" s="4">
        <f t="shared" si="30"/>
        <v>0.95557280578614068</v>
      </c>
      <c r="O100" s="4">
        <f t="shared" si="30"/>
        <v>0.94489984706377372</v>
      </c>
      <c r="P100" s="4">
        <f t="shared" si="30"/>
        <v>0.91311938715799734</v>
      </c>
      <c r="Q100" s="4">
        <f t="shared" si="30"/>
        <v>0.86094134902747743</v>
      </c>
      <c r="R100" s="4">
        <f t="shared" si="30"/>
        <v>0.78953130382243697</v>
      </c>
      <c r="S100" s="4">
        <f t="shared" si="30"/>
        <v>0.70048443395120963</v>
      </c>
      <c r="T100" s="4">
        <f t="shared" si="30"/>
        <v>0.59578989934119497</v>
      </c>
      <c r="U100" s="4">
        <f t="shared" si="30"/>
        <v>0.47778640289307067</v>
      </c>
      <c r="V100" s="4">
        <f t="shared" si="30"/>
        <v>0.34910994772257908</v>
      </c>
      <c r="W100" s="4">
        <f t="shared" si="30"/>
        <v>0.21263495320678838</v>
      </c>
      <c r="X100" s="7">
        <f t="shared" si="30"/>
        <v>7.1410045205040698E-2</v>
      </c>
    </row>
    <row r="101" spans="1:24" x14ac:dyDescent="0.25">
      <c r="A101" s="2">
        <v>10</v>
      </c>
      <c r="B101" s="4">
        <f>IF(10&lt;=N,(10-0.5)*dx,"")</f>
        <v>0.45238095238095233</v>
      </c>
      <c r="D101" s="7">
        <f t="shared" si="29"/>
        <v>7.3895420184945063E-2</v>
      </c>
      <c r="E101" s="4">
        <f t="shared" si="29"/>
        <v>0.22003555897640961</v>
      </c>
      <c r="F101" s="4">
        <f t="shared" si="29"/>
        <v>0.36126046697815717</v>
      </c>
      <c r="G101" s="4">
        <f t="shared" si="29"/>
        <v>0.49441541311256421</v>
      </c>
      <c r="H101" s="4">
        <f t="shared" si="29"/>
        <v>0.61652593591491311</v>
      </c>
      <c r="I101" s="4">
        <f t="shared" si="29"/>
        <v>0.72486428808736414</v>
      </c>
      <c r="J101" s="4">
        <f t="shared" si="29"/>
        <v>0.81701036986612274</v>
      </c>
      <c r="K101" s="4">
        <f t="shared" si="29"/>
        <v>0.89090579005106774</v>
      </c>
      <c r="L101" s="4">
        <f t="shared" si="29"/>
        <v>0.94489984706377372</v>
      </c>
      <c r="M101" s="4">
        <f t="shared" si="29"/>
        <v>0.97778640289307028</v>
      </c>
      <c r="N101" s="4">
        <f t="shared" si="30"/>
        <v>0.98883082622512852</v>
      </c>
      <c r="O101" s="4">
        <f t="shared" si="30"/>
        <v>0.97778640289307028</v>
      </c>
      <c r="P101" s="4">
        <f t="shared" si="30"/>
        <v>0.94489984706377372</v>
      </c>
      <c r="Q101" s="4">
        <f t="shared" si="30"/>
        <v>0.89090579005106785</v>
      </c>
      <c r="R101" s="4">
        <f t="shared" si="30"/>
        <v>0.81701036986612263</v>
      </c>
      <c r="S101" s="4">
        <f t="shared" si="30"/>
        <v>0.72486428808736436</v>
      </c>
      <c r="T101" s="4">
        <f t="shared" si="30"/>
        <v>0.61652593591491323</v>
      </c>
      <c r="U101" s="4">
        <f t="shared" si="30"/>
        <v>0.49441541311256459</v>
      </c>
      <c r="V101" s="4">
        <f t="shared" si="30"/>
        <v>0.36126046697815745</v>
      </c>
      <c r="W101" s="4">
        <f t="shared" si="30"/>
        <v>0.22003555897641017</v>
      </c>
      <c r="X101" s="7">
        <f t="shared" si="30"/>
        <v>7.3895420184945479E-2</v>
      </c>
    </row>
    <row r="102" spans="1:24" x14ac:dyDescent="0.25">
      <c r="A102" s="2">
        <v>11</v>
      </c>
      <c r="B102" s="4">
        <f>IF(11&lt;=N,(11-0.5)*dx,"")</f>
        <v>0.5</v>
      </c>
      <c r="D102" s="7">
        <f t="shared" ref="D102:M112" si="31">IF(COUNT($B102,D$90)&lt;2,"",U0*SIN(PI()*D$90/L)*SIN(PI()*$B102/L))</f>
        <v>7.473009358642424E-2</v>
      </c>
      <c r="E102" s="4">
        <f t="shared" si="31"/>
        <v>0.22252093395631439</v>
      </c>
      <c r="F102" s="4">
        <f t="shared" si="31"/>
        <v>0.36534102436639498</v>
      </c>
      <c r="G102" s="4">
        <f t="shared" si="31"/>
        <v>0.49999999999999994</v>
      </c>
      <c r="H102" s="4">
        <f t="shared" si="31"/>
        <v>0.62348980185873348</v>
      </c>
      <c r="I102" s="4">
        <f t="shared" si="31"/>
        <v>0.73305187182982623</v>
      </c>
      <c r="J102" s="4">
        <f t="shared" si="31"/>
        <v>0.82623877431599491</v>
      </c>
      <c r="K102" s="4">
        <f t="shared" si="31"/>
        <v>0.90096886790241903</v>
      </c>
      <c r="L102" s="4">
        <f t="shared" si="31"/>
        <v>0.95557280578614068</v>
      </c>
      <c r="M102" s="4">
        <f t="shared" si="31"/>
        <v>0.98883082622512852</v>
      </c>
      <c r="N102" s="4">
        <f t="shared" ref="N102:X112" si="32">IF(COUNT($B102,N$90)&lt;2,"",U0*SIN(PI()*N$90/L)*SIN(PI()*$B102/L))</f>
        <v>1</v>
      </c>
      <c r="O102" s="4">
        <f t="shared" si="32"/>
        <v>0.98883082622512852</v>
      </c>
      <c r="P102" s="4">
        <f t="shared" si="32"/>
        <v>0.95557280578614068</v>
      </c>
      <c r="Q102" s="4">
        <f t="shared" si="32"/>
        <v>0.90096886790241915</v>
      </c>
      <c r="R102" s="4">
        <f t="shared" si="32"/>
        <v>0.8262387743159948</v>
      </c>
      <c r="S102" s="4">
        <f t="shared" si="32"/>
        <v>0.73305187182982645</v>
      </c>
      <c r="T102" s="4">
        <f t="shared" si="32"/>
        <v>0.62348980185873359</v>
      </c>
      <c r="U102" s="4">
        <f t="shared" si="32"/>
        <v>0.50000000000000033</v>
      </c>
      <c r="V102" s="4">
        <f t="shared" si="32"/>
        <v>0.36534102436639526</v>
      </c>
      <c r="W102" s="4">
        <f t="shared" si="32"/>
        <v>0.22252093395631495</v>
      </c>
      <c r="X102" s="7">
        <f t="shared" si="32"/>
        <v>7.473009358642467E-2</v>
      </c>
    </row>
    <row r="103" spans="1:24" x14ac:dyDescent="0.25">
      <c r="A103" s="2">
        <v>12</v>
      </c>
      <c r="B103" s="4">
        <f>IF(12&lt;=N,(12-0.5)*dx,"")</f>
        <v>0.54761904761904756</v>
      </c>
      <c r="D103" s="7">
        <f t="shared" si="31"/>
        <v>7.3895420184945063E-2</v>
      </c>
      <c r="E103" s="4">
        <f t="shared" si="31"/>
        <v>0.22003555897640961</v>
      </c>
      <c r="F103" s="4">
        <f t="shared" si="31"/>
        <v>0.36126046697815717</v>
      </c>
      <c r="G103" s="4">
        <f t="shared" si="31"/>
        <v>0.49441541311256421</v>
      </c>
      <c r="H103" s="4">
        <f t="shared" si="31"/>
        <v>0.61652593591491311</v>
      </c>
      <c r="I103" s="4">
        <f t="shared" si="31"/>
        <v>0.72486428808736414</v>
      </c>
      <c r="J103" s="4">
        <f t="shared" si="31"/>
        <v>0.81701036986612274</v>
      </c>
      <c r="K103" s="4">
        <f t="shared" si="31"/>
        <v>0.89090579005106774</v>
      </c>
      <c r="L103" s="4">
        <f t="shared" si="31"/>
        <v>0.94489984706377372</v>
      </c>
      <c r="M103" s="4">
        <f t="shared" si="31"/>
        <v>0.97778640289307028</v>
      </c>
      <c r="N103" s="4">
        <f t="shared" si="32"/>
        <v>0.98883082622512852</v>
      </c>
      <c r="O103" s="4">
        <f t="shared" si="32"/>
        <v>0.97778640289307028</v>
      </c>
      <c r="P103" s="4">
        <f t="shared" si="32"/>
        <v>0.94489984706377372</v>
      </c>
      <c r="Q103" s="4">
        <f t="shared" si="32"/>
        <v>0.89090579005106785</v>
      </c>
      <c r="R103" s="4">
        <f t="shared" si="32"/>
        <v>0.81701036986612263</v>
      </c>
      <c r="S103" s="4">
        <f t="shared" si="32"/>
        <v>0.72486428808736436</v>
      </c>
      <c r="T103" s="4">
        <f t="shared" si="32"/>
        <v>0.61652593591491323</v>
      </c>
      <c r="U103" s="4">
        <f t="shared" si="32"/>
        <v>0.49441541311256459</v>
      </c>
      <c r="V103" s="4">
        <f t="shared" si="32"/>
        <v>0.36126046697815745</v>
      </c>
      <c r="W103" s="4">
        <f t="shared" si="32"/>
        <v>0.22003555897641017</v>
      </c>
      <c r="X103" s="7">
        <f t="shared" si="32"/>
        <v>7.3895420184945479E-2</v>
      </c>
    </row>
    <row r="104" spans="1:24" x14ac:dyDescent="0.25">
      <c r="A104" s="2">
        <v>13</v>
      </c>
      <c r="B104" s="4">
        <f>IF(13&lt;=N,(13-0.5)*dx,"")</f>
        <v>0.59523809523809523</v>
      </c>
      <c r="D104" s="7">
        <f t="shared" si="31"/>
        <v>7.1410045205040282E-2</v>
      </c>
      <c r="E104" s="4">
        <f t="shared" si="31"/>
        <v>0.21263495320678785</v>
      </c>
      <c r="F104" s="4">
        <f t="shared" si="31"/>
        <v>0.34910994772257886</v>
      </c>
      <c r="G104" s="4">
        <f t="shared" si="31"/>
        <v>0.47778640289307028</v>
      </c>
      <c r="H104" s="4">
        <f t="shared" si="31"/>
        <v>0.59578989934119486</v>
      </c>
      <c r="I104" s="4">
        <f t="shared" si="31"/>
        <v>0.70048443395120941</v>
      </c>
      <c r="J104" s="4">
        <f t="shared" si="31"/>
        <v>0.78953130382243708</v>
      </c>
      <c r="K104" s="4">
        <f t="shared" si="31"/>
        <v>0.86094134902747732</v>
      </c>
      <c r="L104" s="4">
        <f t="shared" si="31"/>
        <v>0.91311938715799734</v>
      </c>
      <c r="M104" s="4">
        <f t="shared" si="31"/>
        <v>0.94489984706377372</v>
      </c>
      <c r="N104" s="4">
        <f t="shared" si="32"/>
        <v>0.95557280578614068</v>
      </c>
      <c r="O104" s="4">
        <f t="shared" si="32"/>
        <v>0.94489984706377372</v>
      </c>
      <c r="P104" s="4">
        <f t="shared" si="32"/>
        <v>0.91311938715799734</v>
      </c>
      <c r="Q104" s="4">
        <f t="shared" si="32"/>
        <v>0.86094134902747743</v>
      </c>
      <c r="R104" s="4">
        <f t="shared" si="32"/>
        <v>0.78953130382243697</v>
      </c>
      <c r="S104" s="4">
        <f t="shared" si="32"/>
        <v>0.70048443395120963</v>
      </c>
      <c r="T104" s="4">
        <f t="shared" si="32"/>
        <v>0.59578989934119497</v>
      </c>
      <c r="U104" s="4">
        <f t="shared" si="32"/>
        <v>0.47778640289307067</v>
      </c>
      <c r="V104" s="4">
        <f t="shared" si="32"/>
        <v>0.34910994772257908</v>
      </c>
      <c r="W104" s="4">
        <f t="shared" si="32"/>
        <v>0.21263495320678838</v>
      </c>
      <c r="X104" s="7">
        <f t="shared" si="32"/>
        <v>7.1410045205040698E-2</v>
      </c>
    </row>
    <row r="105" spans="1:24" x14ac:dyDescent="0.25">
      <c r="A105" s="2">
        <v>14</v>
      </c>
      <c r="B105" s="4">
        <f>IF(14&lt;=N,(14-0.5)*dx,"")</f>
        <v>0.64285714285714279</v>
      </c>
      <c r="D105" s="7">
        <f t="shared" si="31"/>
        <v>6.732948781680248E-2</v>
      </c>
      <c r="E105" s="4">
        <f t="shared" si="31"/>
        <v>0.20048443395120955</v>
      </c>
      <c r="F105" s="4">
        <f t="shared" si="31"/>
        <v>0.32916088912170099</v>
      </c>
      <c r="G105" s="4">
        <f t="shared" si="31"/>
        <v>0.45048443395120952</v>
      </c>
      <c r="H105" s="4">
        <f t="shared" si="31"/>
        <v>0.56174490092936669</v>
      </c>
      <c r="I105" s="4">
        <f t="shared" si="31"/>
        <v>0.6604569150762678</v>
      </c>
      <c r="J105" s="4">
        <f t="shared" si="31"/>
        <v>0.74441541311256432</v>
      </c>
      <c r="K105" s="4">
        <f t="shared" si="31"/>
        <v>0.81174490092936669</v>
      </c>
      <c r="L105" s="4">
        <f t="shared" si="31"/>
        <v>0.86094134902747743</v>
      </c>
      <c r="M105" s="4">
        <f t="shared" si="31"/>
        <v>0.89090579005106785</v>
      </c>
      <c r="N105" s="4">
        <f t="shared" si="32"/>
        <v>0.90096886790241915</v>
      </c>
      <c r="O105" s="4">
        <f t="shared" si="32"/>
        <v>0.89090579005106785</v>
      </c>
      <c r="P105" s="4">
        <f t="shared" si="32"/>
        <v>0.86094134902747743</v>
      </c>
      <c r="Q105" s="4">
        <f t="shared" si="32"/>
        <v>0.8117449009293668</v>
      </c>
      <c r="R105" s="4">
        <f t="shared" si="32"/>
        <v>0.74441541311256421</v>
      </c>
      <c r="S105" s="4">
        <f t="shared" si="32"/>
        <v>0.66045691507626803</v>
      </c>
      <c r="T105" s="4">
        <f t="shared" si="32"/>
        <v>0.5617449009293668</v>
      </c>
      <c r="U105" s="4">
        <f t="shared" si="32"/>
        <v>0.45048443395120985</v>
      </c>
      <c r="V105" s="4">
        <f t="shared" si="32"/>
        <v>0.32916088912170127</v>
      </c>
      <c r="W105" s="4">
        <f t="shared" si="32"/>
        <v>0.20048443395121004</v>
      </c>
      <c r="X105" s="7">
        <f t="shared" si="32"/>
        <v>6.7329487816802869E-2</v>
      </c>
    </row>
    <row r="106" spans="1:24" x14ac:dyDescent="0.25">
      <c r="A106" s="2">
        <v>15</v>
      </c>
      <c r="B106" s="4">
        <f>IF(15&lt;=N,(15-0.5)*dx,"")</f>
        <v>0.69047619047619047</v>
      </c>
      <c r="D106" s="7">
        <f t="shared" si="31"/>
        <v>6.1744900929366749E-2</v>
      </c>
      <c r="E106" s="4">
        <f t="shared" si="31"/>
        <v>0.18385542373171562</v>
      </c>
      <c r="F106" s="4">
        <f t="shared" si="31"/>
        <v>0.30185892017984017</v>
      </c>
      <c r="G106" s="4">
        <f t="shared" si="31"/>
        <v>0.41311938715799734</v>
      </c>
      <c r="H106" s="4">
        <f t="shared" si="31"/>
        <v>0.51515144968628246</v>
      </c>
      <c r="I106" s="4">
        <f t="shared" si="31"/>
        <v>0.60567588009072137</v>
      </c>
      <c r="J106" s="4">
        <f t="shared" si="31"/>
        <v>0.68267051218319752</v>
      </c>
      <c r="K106" s="4">
        <f t="shared" si="31"/>
        <v>0.74441541311256409</v>
      </c>
      <c r="L106" s="4">
        <f t="shared" si="31"/>
        <v>0.78953130382243697</v>
      </c>
      <c r="M106" s="4">
        <f t="shared" si="31"/>
        <v>0.81701036986612263</v>
      </c>
      <c r="N106" s="4">
        <f t="shared" si="32"/>
        <v>0.8262387743159948</v>
      </c>
      <c r="O106" s="4">
        <f t="shared" si="32"/>
        <v>0.81701036986612263</v>
      </c>
      <c r="P106" s="4">
        <f t="shared" si="32"/>
        <v>0.78953130382243697</v>
      </c>
      <c r="Q106" s="4">
        <f t="shared" si="32"/>
        <v>0.74441541311256421</v>
      </c>
      <c r="R106" s="4">
        <f t="shared" si="32"/>
        <v>0.68267051218319741</v>
      </c>
      <c r="S106" s="4">
        <f t="shared" si="32"/>
        <v>0.60567588009072149</v>
      </c>
      <c r="T106" s="4">
        <f t="shared" si="32"/>
        <v>0.51515144968628246</v>
      </c>
      <c r="U106" s="4">
        <f t="shared" si="32"/>
        <v>0.41311938715799768</v>
      </c>
      <c r="V106" s="4">
        <f t="shared" si="32"/>
        <v>0.3018589201798404</v>
      </c>
      <c r="W106" s="4">
        <f t="shared" si="32"/>
        <v>0.18385542373171609</v>
      </c>
      <c r="X106" s="7">
        <f t="shared" si="32"/>
        <v>6.1744900929367103E-2</v>
      </c>
    </row>
    <row r="107" spans="1:24" x14ac:dyDescent="0.25">
      <c r="A107" s="2">
        <v>16</v>
      </c>
      <c r="B107" s="4">
        <f>IF(16&lt;=N,(16-0.5)*dx,"")</f>
        <v>0.73809523809523803</v>
      </c>
      <c r="D107" s="7">
        <f t="shared" si="31"/>
        <v>5.4781034985546401E-2</v>
      </c>
      <c r="E107" s="4">
        <f t="shared" si="31"/>
        <v>0.16311938715799745</v>
      </c>
      <c r="F107" s="4">
        <f t="shared" si="31"/>
        <v>0.26781392176801205</v>
      </c>
      <c r="G107" s="4">
        <f t="shared" si="31"/>
        <v>0.36652593591491317</v>
      </c>
      <c r="H107" s="4">
        <f t="shared" si="31"/>
        <v>0.4570503663193522</v>
      </c>
      <c r="I107" s="4">
        <f t="shared" si="31"/>
        <v>0.53736504679321218</v>
      </c>
      <c r="J107" s="4">
        <f t="shared" si="31"/>
        <v>0.6056758800907216</v>
      </c>
      <c r="K107" s="4">
        <f t="shared" si="31"/>
        <v>0.66045691507626791</v>
      </c>
      <c r="L107" s="4">
        <f t="shared" si="31"/>
        <v>0.70048443395120963</v>
      </c>
      <c r="M107" s="4">
        <f t="shared" si="31"/>
        <v>0.72486428808736436</v>
      </c>
      <c r="N107" s="4">
        <f t="shared" si="32"/>
        <v>0.73305187182982645</v>
      </c>
      <c r="O107" s="4">
        <f t="shared" si="32"/>
        <v>0.72486428808736436</v>
      </c>
      <c r="P107" s="4">
        <f t="shared" si="32"/>
        <v>0.70048443395120963</v>
      </c>
      <c r="Q107" s="4">
        <f t="shared" si="32"/>
        <v>0.66045691507626803</v>
      </c>
      <c r="R107" s="4">
        <f t="shared" si="32"/>
        <v>0.60567588009072149</v>
      </c>
      <c r="S107" s="4">
        <f t="shared" si="32"/>
        <v>0.53736504679321229</v>
      </c>
      <c r="T107" s="4">
        <f t="shared" si="32"/>
        <v>0.45705036631935225</v>
      </c>
      <c r="U107" s="4">
        <f t="shared" si="32"/>
        <v>0.36652593591491345</v>
      </c>
      <c r="V107" s="4">
        <f t="shared" si="32"/>
        <v>0.26781392176801228</v>
      </c>
      <c r="W107" s="4">
        <f t="shared" si="32"/>
        <v>0.16311938715799787</v>
      </c>
      <c r="X107" s="7">
        <f t="shared" si="32"/>
        <v>5.4781034985546713E-2</v>
      </c>
    </row>
    <row r="108" spans="1:24" x14ac:dyDescent="0.25">
      <c r="A108" s="2">
        <v>17</v>
      </c>
      <c r="B108" s="4">
        <f>IF(17&lt;=N,(17-0.5)*dx,"")</f>
        <v>0.7857142857142857</v>
      </c>
      <c r="D108" s="7">
        <f t="shared" si="31"/>
        <v>4.6593451243084269E-2</v>
      </c>
      <c r="E108" s="4">
        <f t="shared" si="31"/>
        <v>0.1387395330218428</v>
      </c>
      <c r="F108" s="4">
        <f t="shared" si="31"/>
        <v>0.22778640289307037</v>
      </c>
      <c r="G108" s="4">
        <f t="shared" si="31"/>
        <v>0.31174490092936674</v>
      </c>
      <c r="H108" s="4">
        <f t="shared" si="31"/>
        <v>0.38873953302184283</v>
      </c>
      <c r="I108" s="4">
        <f t="shared" si="31"/>
        <v>0.45705036631935214</v>
      </c>
      <c r="J108" s="4">
        <f t="shared" si="31"/>
        <v>0.51515144968628257</v>
      </c>
      <c r="K108" s="4">
        <f t="shared" si="31"/>
        <v>0.5617449009293668</v>
      </c>
      <c r="L108" s="4">
        <f t="shared" si="31"/>
        <v>0.59578989934119497</v>
      </c>
      <c r="M108" s="4">
        <f t="shared" si="31"/>
        <v>0.61652593591491323</v>
      </c>
      <c r="N108" s="4">
        <f t="shared" si="32"/>
        <v>0.62348980185873359</v>
      </c>
      <c r="O108" s="4">
        <f t="shared" si="32"/>
        <v>0.61652593591491323</v>
      </c>
      <c r="P108" s="4">
        <f t="shared" si="32"/>
        <v>0.59578989934119497</v>
      </c>
      <c r="Q108" s="4">
        <f t="shared" si="32"/>
        <v>0.5617449009293668</v>
      </c>
      <c r="R108" s="4">
        <f t="shared" si="32"/>
        <v>0.51515144968628246</v>
      </c>
      <c r="S108" s="4">
        <f t="shared" si="32"/>
        <v>0.45705036631935225</v>
      </c>
      <c r="T108" s="4">
        <f t="shared" si="32"/>
        <v>0.38873953302184289</v>
      </c>
      <c r="U108" s="4">
        <f t="shared" si="32"/>
        <v>0.31174490092936702</v>
      </c>
      <c r="V108" s="4">
        <f t="shared" si="32"/>
        <v>0.22778640289307053</v>
      </c>
      <c r="W108" s="4">
        <f t="shared" si="32"/>
        <v>0.13873953302184316</v>
      </c>
      <c r="X108" s="7">
        <f t="shared" si="32"/>
        <v>4.6593451243084533E-2</v>
      </c>
    </row>
    <row r="109" spans="1:24" x14ac:dyDescent="0.25">
      <c r="A109" s="2">
        <v>18</v>
      </c>
      <c r="B109" s="4">
        <f>IF(18&lt;=N,(18-0.5)*dx,"")</f>
        <v>0.83333333333333326</v>
      </c>
      <c r="D109" s="7">
        <f t="shared" si="31"/>
        <v>3.7365046793212148E-2</v>
      </c>
      <c r="E109" s="4">
        <f t="shared" si="31"/>
        <v>0.11126046697815727</v>
      </c>
      <c r="F109" s="4">
        <f t="shared" si="31"/>
        <v>0.1826705121831976</v>
      </c>
      <c r="G109" s="4">
        <f t="shared" si="31"/>
        <v>0.25000000000000011</v>
      </c>
      <c r="H109" s="4">
        <f t="shared" si="31"/>
        <v>0.31174490092936696</v>
      </c>
      <c r="I109" s="4">
        <f t="shared" si="31"/>
        <v>0.36652593591491334</v>
      </c>
      <c r="J109" s="4">
        <f t="shared" si="31"/>
        <v>0.41311938715799773</v>
      </c>
      <c r="K109" s="4">
        <f t="shared" si="31"/>
        <v>0.4504844339512098</v>
      </c>
      <c r="L109" s="4">
        <f t="shared" si="31"/>
        <v>0.47778640289307067</v>
      </c>
      <c r="M109" s="4">
        <f t="shared" si="31"/>
        <v>0.49441541311256459</v>
      </c>
      <c r="N109" s="4">
        <f t="shared" si="32"/>
        <v>0.50000000000000033</v>
      </c>
      <c r="O109" s="4">
        <f t="shared" si="32"/>
        <v>0.49441541311256459</v>
      </c>
      <c r="P109" s="4">
        <f t="shared" si="32"/>
        <v>0.47778640289307067</v>
      </c>
      <c r="Q109" s="4">
        <f t="shared" si="32"/>
        <v>0.45048443395120985</v>
      </c>
      <c r="R109" s="4">
        <f t="shared" si="32"/>
        <v>0.41311938715799768</v>
      </c>
      <c r="S109" s="4">
        <f t="shared" si="32"/>
        <v>0.36652593591491345</v>
      </c>
      <c r="T109" s="4">
        <f t="shared" si="32"/>
        <v>0.31174490092936702</v>
      </c>
      <c r="U109" s="4">
        <f t="shared" si="32"/>
        <v>0.25000000000000033</v>
      </c>
      <c r="V109" s="4">
        <f t="shared" si="32"/>
        <v>0.18267051218319774</v>
      </c>
      <c r="W109" s="4">
        <f t="shared" si="32"/>
        <v>0.11126046697815754</v>
      </c>
      <c r="X109" s="7">
        <f t="shared" si="32"/>
        <v>3.7365046793212363E-2</v>
      </c>
    </row>
    <row r="110" spans="1:24" x14ac:dyDescent="0.25">
      <c r="A110" s="2">
        <v>19</v>
      </c>
      <c r="B110" s="4">
        <f>IF(19&lt;=N,(19-0.5)*dx,"")</f>
        <v>0.88095238095238093</v>
      </c>
      <c r="D110" s="7">
        <f t="shared" si="31"/>
        <v>2.7301968941860818E-2</v>
      </c>
      <c r="E110" s="4">
        <f t="shared" si="31"/>
        <v>8.1296025954566892E-2</v>
      </c>
      <c r="F110" s="4">
        <f t="shared" si="31"/>
        <v>0.13347406408508691</v>
      </c>
      <c r="G110" s="4">
        <f t="shared" si="31"/>
        <v>0.1826705121831976</v>
      </c>
      <c r="H110" s="4">
        <f t="shared" si="31"/>
        <v>0.22778640289307051</v>
      </c>
      <c r="I110" s="4">
        <f t="shared" si="31"/>
        <v>0.26781392176801222</v>
      </c>
      <c r="J110" s="4">
        <f t="shared" si="31"/>
        <v>0.30185892017984045</v>
      </c>
      <c r="K110" s="4">
        <f t="shared" si="31"/>
        <v>0.32916088912170122</v>
      </c>
      <c r="L110" s="4">
        <f t="shared" si="31"/>
        <v>0.34910994772257908</v>
      </c>
      <c r="M110" s="4">
        <f t="shared" si="31"/>
        <v>0.36126046697815745</v>
      </c>
      <c r="N110" s="4">
        <f t="shared" si="32"/>
        <v>0.36534102436639526</v>
      </c>
      <c r="O110" s="4">
        <f t="shared" si="32"/>
        <v>0.36126046697815745</v>
      </c>
      <c r="P110" s="4">
        <f t="shared" si="32"/>
        <v>0.34910994772257908</v>
      </c>
      <c r="Q110" s="4">
        <f t="shared" si="32"/>
        <v>0.32916088912170127</v>
      </c>
      <c r="R110" s="4">
        <f t="shared" si="32"/>
        <v>0.3018589201798404</v>
      </c>
      <c r="S110" s="4">
        <f t="shared" si="32"/>
        <v>0.26781392176801228</v>
      </c>
      <c r="T110" s="4">
        <f t="shared" si="32"/>
        <v>0.22778640289307053</v>
      </c>
      <c r="U110" s="4">
        <f t="shared" si="32"/>
        <v>0.18267051218319774</v>
      </c>
      <c r="V110" s="4">
        <f t="shared" si="32"/>
        <v>0.13347406408508702</v>
      </c>
      <c r="W110" s="4">
        <f t="shared" si="32"/>
        <v>8.1296025954567086E-2</v>
      </c>
      <c r="X110" s="7">
        <f t="shared" si="32"/>
        <v>2.7301968941860974E-2</v>
      </c>
    </row>
    <row r="111" spans="1:24" x14ac:dyDescent="0.25">
      <c r="A111" s="2">
        <v>20</v>
      </c>
      <c r="B111" s="4">
        <f>IF(20&lt;=N,(20-0.5)*dx,"")</f>
        <v>0.92857142857142849</v>
      </c>
      <c r="D111" s="7">
        <f t="shared" si="31"/>
        <v>1.6629010219493943E-2</v>
      </c>
      <c r="E111" s="4">
        <f t="shared" si="31"/>
        <v>4.9515566048790552E-2</v>
      </c>
      <c r="F111" s="4">
        <f t="shared" si="31"/>
        <v>8.1296025954567031E-2</v>
      </c>
      <c r="G111" s="4">
        <f t="shared" si="31"/>
        <v>0.11126046697815746</v>
      </c>
      <c r="H111" s="4">
        <f t="shared" si="31"/>
        <v>0.13873953302184314</v>
      </c>
      <c r="I111" s="4">
        <f t="shared" si="31"/>
        <v>0.16311938715799781</v>
      </c>
      <c r="J111" s="4">
        <f t="shared" si="31"/>
        <v>0.18385542373171612</v>
      </c>
      <c r="K111" s="4">
        <f t="shared" si="31"/>
        <v>0.20048443395121004</v>
      </c>
      <c r="L111" s="4">
        <f t="shared" si="31"/>
        <v>0.21263495320678838</v>
      </c>
      <c r="M111" s="4">
        <f t="shared" si="31"/>
        <v>0.22003555897641017</v>
      </c>
      <c r="N111" s="4">
        <f t="shared" si="32"/>
        <v>0.22252093395631495</v>
      </c>
      <c r="O111" s="4">
        <f t="shared" si="32"/>
        <v>0.22003555897641017</v>
      </c>
      <c r="P111" s="4">
        <f t="shared" si="32"/>
        <v>0.21263495320678838</v>
      </c>
      <c r="Q111" s="4">
        <f t="shared" si="32"/>
        <v>0.20048443395121004</v>
      </c>
      <c r="R111" s="4">
        <f t="shared" si="32"/>
        <v>0.18385542373171609</v>
      </c>
      <c r="S111" s="4">
        <f t="shared" si="32"/>
        <v>0.16311938715799787</v>
      </c>
      <c r="T111" s="4">
        <f t="shared" si="32"/>
        <v>0.13873953302184316</v>
      </c>
      <c r="U111" s="4">
        <f t="shared" si="32"/>
        <v>0.11126046697815754</v>
      </c>
      <c r="V111" s="4">
        <f t="shared" si="32"/>
        <v>8.1296025954567086E-2</v>
      </c>
      <c r="W111" s="4">
        <f t="shared" si="32"/>
        <v>4.9515566048790677E-2</v>
      </c>
      <c r="X111" s="7">
        <f t="shared" si="32"/>
        <v>1.6629010219494041E-2</v>
      </c>
    </row>
    <row r="112" spans="1:24" x14ac:dyDescent="0.25">
      <c r="A112" s="2">
        <v>21</v>
      </c>
      <c r="B112" s="4">
        <f>IF(21&lt;=N,(21-0.5)*dx,"")</f>
        <v>0.97619047619047616</v>
      </c>
      <c r="D112" s="7">
        <f t="shared" si="31"/>
        <v>5.5845868874357576E-3</v>
      </c>
      <c r="E112" s="7">
        <f t="shared" si="31"/>
        <v>1.6629010219493999E-2</v>
      </c>
      <c r="F112" s="7">
        <f t="shared" si="31"/>
        <v>2.7301968941860953E-2</v>
      </c>
      <c r="G112" s="7">
        <f t="shared" si="31"/>
        <v>3.7365046793212328E-2</v>
      </c>
      <c r="H112" s="7">
        <f t="shared" si="31"/>
        <v>4.6593451243084526E-2</v>
      </c>
      <c r="I112" s="7">
        <f t="shared" si="31"/>
        <v>5.4781034985546699E-2</v>
      </c>
      <c r="J112" s="7">
        <f t="shared" si="31"/>
        <v>6.1744900929367109E-2</v>
      </c>
      <c r="K112" s="7">
        <f t="shared" si="31"/>
        <v>6.7329487816802855E-2</v>
      </c>
      <c r="L112" s="7">
        <f t="shared" si="31"/>
        <v>7.1410045205040698E-2</v>
      </c>
      <c r="M112" s="7">
        <f t="shared" si="31"/>
        <v>7.3895420184945479E-2</v>
      </c>
      <c r="N112" s="7">
        <f t="shared" si="32"/>
        <v>7.473009358642467E-2</v>
      </c>
      <c r="O112" s="7">
        <f t="shared" si="32"/>
        <v>7.3895420184945479E-2</v>
      </c>
      <c r="P112" s="7">
        <f t="shared" si="32"/>
        <v>7.1410045205040698E-2</v>
      </c>
      <c r="Q112" s="7">
        <f t="shared" si="32"/>
        <v>6.7329487816802869E-2</v>
      </c>
      <c r="R112" s="7">
        <f t="shared" si="32"/>
        <v>6.1744900929367103E-2</v>
      </c>
      <c r="S112" s="7">
        <f t="shared" si="32"/>
        <v>5.4781034985546713E-2</v>
      </c>
      <c r="T112" s="7">
        <f t="shared" si="32"/>
        <v>4.6593451243084533E-2</v>
      </c>
      <c r="U112" s="7">
        <f t="shared" si="32"/>
        <v>3.7365046793212363E-2</v>
      </c>
      <c r="V112" s="7">
        <f t="shared" si="32"/>
        <v>2.7301968941860974E-2</v>
      </c>
      <c r="W112" s="7">
        <f t="shared" si="32"/>
        <v>1.6629010219494041E-2</v>
      </c>
      <c r="X112" s="7">
        <f t="shared" si="32"/>
        <v>5.5845868874357897E-3</v>
      </c>
    </row>
    <row r="116" spans="1:24" ht="15.75" x14ac:dyDescent="0.25">
      <c r="A116" s="5" t="s">
        <v>55</v>
      </c>
    </row>
    <row r="117" spans="1:24" x14ac:dyDescent="0.25">
      <c r="A117" s="2" t="s">
        <v>48</v>
      </c>
      <c r="D117" s="2">
        <v>1</v>
      </c>
      <c r="E117" s="2">
        <v>2</v>
      </c>
      <c r="F117" s="2">
        <v>3</v>
      </c>
      <c r="G117" s="2">
        <v>4</v>
      </c>
      <c r="H117" s="2">
        <v>5</v>
      </c>
      <c r="I117" s="2">
        <v>6</v>
      </c>
      <c r="J117" s="2">
        <v>7</v>
      </c>
      <c r="K117" s="2">
        <v>8</v>
      </c>
      <c r="L117" s="2">
        <v>9</v>
      </c>
      <c r="M117" s="2">
        <v>10</v>
      </c>
      <c r="N117" s="2">
        <v>11</v>
      </c>
      <c r="O117" s="2">
        <v>12</v>
      </c>
      <c r="P117" s="2">
        <v>13</v>
      </c>
      <c r="Q117" s="2">
        <v>14</v>
      </c>
      <c r="R117" s="2">
        <v>15</v>
      </c>
      <c r="S117" s="2">
        <v>16</v>
      </c>
      <c r="T117" s="2">
        <v>17</v>
      </c>
      <c r="U117" s="2">
        <v>18</v>
      </c>
      <c r="V117" s="2">
        <v>19</v>
      </c>
      <c r="W117" s="2">
        <v>20</v>
      </c>
      <c r="X117" s="2">
        <v>21</v>
      </c>
    </row>
    <row r="118" spans="1:24" x14ac:dyDescent="0.25">
      <c r="A118" s="2" t="s">
        <v>49</v>
      </c>
      <c r="D118" s="4">
        <f>IF(1&lt;=N,(1-0.5)*dx,"")</f>
        <v>2.3809523809523808E-2</v>
      </c>
      <c r="E118" s="4">
        <f>IF(2&lt;=N,(2-0.5)*dx,"")</f>
        <v>7.1428571428571425E-2</v>
      </c>
      <c r="F118" s="4">
        <f>IF(3&lt;=N,(3-0.5)*dx,"")</f>
        <v>0.11904761904761904</v>
      </c>
      <c r="G118" s="4">
        <f>IF(4&lt;=N,(4-0.5)*dx,"")</f>
        <v>0.16666666666666666</v>
      </c>
      <c r="H118" s="4">
        <f>IF(5&lt;=N,(5-0.5)*dx,"")</f>
        <v>0.21428571428571427</v>
      </c>
      <c r="I118" s="4">
        <f>IF(6&lt;=N,(6-0.5)*dx,"")</f>
        <v>0.26190476190476186</v>
      </c>
      <c r="J118" s="4">
        <f>IF(7&lt;=N,(7-0.5)*dx,"")</f>
        <v>0.30952380952380953</v>
      </c>
      <c r="K118" s="4">
        <f>IF(8&lt;=N,(8-0.5)*dx,"")</f>
        <v>0.3571428571428571</v>
      </c>
      <c r="L118" s="4">
        <f>IF(9&lt;=N,(9-0.5)*dx,"")</f>
        <v>0.40476190476190477</v>
      </c>
      <c r="M118" s="4">
        <f>IF(10&lt;=N,(10-0.5)*dx,"")</f>
        <v>0.45238095238095233</v>
      </c>
      <c r="N118" s="4">
        <f>IF(11&lt;=N,(11-0.5)*dx,"")</f>
        <v>0.5</v>
      </c>
      <c r="O118" s="4">
        <f>IF(12&lt;=N,(12-0.5)*dx,"")</f>
        <v>0.54761904761904756</v>
      </c>
      <c r="P118" s="4">
        <f>IF(13&lt;=N,(13-0.5)*dx,"")</f>
        <v>0.59523809523809523</v>
      </c>
      <c r="Q118" s="4">
        <f>IF(14&lt;=N,(14-0.5)*dx,"")</f>
        <v>0.64285714285714279</v>
      </c>
      <c r="R118" s="4">
        <f>IF(15&lt;=N,(15-0.5)*dx,"")</f>
        <v>0.69047619047619047</v>
      </c>
      <c r="S118" s="4">
        <f>IF(16&lt;=N,(16-0.5)*dx,"")</f>
        <v>0.73809523809523803</v>
      </c>
      <c r="T118" s="4">
        <f>IF(17&lt;=N,(17-0.5)*dx,"")</f>
        <v>0.7857142857142857</v>
      </c>
      <c r="U118" s="4">
        <f>IF(18&lt;=N,(18-0.5)*dx,"")</f>
        <v>0.83333333333333326</v>
      </c>
      <c r="V118" s="4">
        <f>IF(19&lt;=N,(19-0.5)*dx,"")</f>
        <v>0.88095238095238093</v>
      </c>
      <c r="W118" s="4">
        <f>IF(20&lt;=N,(20-0.5)*dx,"")</f>
        <v>0.92857142857142849</v>
      </c>
      <c r="X118" s="4">
        <f>IF(21&lt;=N,(21-0.5)*dx,"")</f>
        <v>0.97619047619047616</v>
      </c>
    </row>
    <row r="119" spans="1:24" x14ac:dyDescent="0.25">
      <c r="A119" s="2" t="s">
        <v>50</v>
      </c>
      <c r="B119" s="2" t="s">
        <v>51</v>
      </c>
    </row>
    <row r="120" spans="1:24" x14ac:dyDescent="0.25">
      <c r="A120" s="2">
        <v>1</v>
      </c>
      <c r="B120" s="4">
        <f>IF(1&lt;=N,(1-0.5)*dx,"")</f>
        <v>2.3809523809523808E-2</v>
      </c>
      <c r="D120" s="7">
        <f t="shared" ref="D120:M129" si="33">IF(COUNT($B120,D$118)&lt;2,"",0)</f>
        <v>0</v>
      </c>
      <c r="E120" s="7">
        <f t="shared" si="33"/>
        <v>0</v>
      </c>
      <c r="F120" s="7">
        <f t="shared" si="33"/>
        <v>0</v>
      </c>
      <c r="G120" s="7">
        <f t="shared" si="33"/>
        <v>0</v>
      </c>
      <c r="H120" s="7">
        <f t="shared" si="33"/>
        <v>0</v>
      </c>
      <c r="I120" s="7">
        <f t="shared" si="33"/>
        <v>0</v>
      </c>
      <c r="J120" s="7">
        <f t="shared" si="33"/>
        <v>0</v>
      </c>
      <c r="K120" s="7">
        <f t="shared" si="33"/>
        <v>0</v>
      </c>
      <c r="L120" s="7">
        <f t="shared" si="33"/>
        <v>0</v>
      </c>
      <c r="M120" s="7">
        <f t="shared" si="33"/>
        <v>0</v>
      </c>
      <c r="N120" s="7">
        <f t="shared" ref="N120:X129" si="34">IF(COUNT($B120,N$118)&lt;2,"",0)</f>
        <v>0</v>
      </c>
      <c r="O120" s="7">
        <f t="shared" si="34"/>
        <v>0</v>
      </c>
      <c r="P120" s="7">
        <f t="shared" si="34"/>
        <v>0</v>
      </c>
      <c r="Q120" s="7">
        <f t="shared" si="34"/>
        <v>0</v>
      </c>
      <c r="R120" s="7">
        <f t="shared" si="34"/>
        <v>0</v>
      </c>
      <c r="S120" s="7">
        <f t="shared" si="34"/>
        <v>0</v>
      </c>
      <c r="T120" s="7">
        <f t="shared" si="34"/>
        <v>0</v>
      </c>
      <c r="U120" s="7">
        <f t="shared" si="34"/>
        <v>0</v>
      </c>
      <c r="V120" s="7">
        <f t="shared" si="34"/>
        <v>0</v>
      </c>
      <c r="W120" s="7">
        <f t="shared" si="34"/>
        <v>0</v>
      </c>
      <c r="X120" s="7">
        <f t="shared" si="34"/>
        <v>0</v>
      </c>
    </row>
    <row r="121" spans="1:24" x14ac:dyDescent="0.25">
      <c r="A121" s="2">
        <v>2</v>
      </c>
      <c r="B121" s="4">
        <f>IF(2&lt;=N,(2-0.5)*dx,"")</f>
        <v>7.1428571428571425E-2</v>
      </c>
      <c r="D121" s="7">
        <f t="shared" si="33"/>
        <v>0</v>
      </c>
      <c r="E121" s="4">
        <f t="shared" si="33"/>
        <v>0</v>
      </c>
      <c r="F121" s="4">
        <f t="shared" si="33"/>
        <v>0</v>
      </c>
      <c r="G121" s="4">
        <f t="shared" si="33"/>
        <v>0</v>
      </c>
      <c r="H121" s="4">
        <f t="shared" si="33"/>
        <v>0</v>
      </c>
      <c r="I121" s="4">
        <f t="shared" si="33"/>
        <v>0</v>
      </c>
      <c r="J121" s="4">
        <f t="shared" si="33"/>
        <v>0</v>
      </c>
      <c r="K121" s="4">
        <f t="shared" si="33"/>
        <v>0</v>
      </c>
      <c r="L121" s="4">
        <f t="shared" si="33"/>
        <v>0</v>
      </c>
      <c r="M121" s="4">
        <f t="shared" si="33"/>
        <v>0</v>
      </c>
      <c r="N121" s="4">
        <f t="shared" si="34"/>
        <v>0</v>
      </c>
      <c r="O121" s="4">
        <f t="shared" si="34"/>
        <v>0</v>
      </c>
      <c r="P121" s="4">
        <f t="shared" si="34"/>
        <v>0</v>
      </c>
      <c r="Q121" s="4">
        <f t="shared" si="34"/>
        <v>0</v>
      </c>
      <c r="R121" s="4">
        <f t="shared" si="34"/>
        <v>0</v>
      </c>
      <c r="S121" s="4">
        <f t="shared" si="34"/>
        <v>0</v>
      </c>
      <c r="T121" s="4">
        <f t="shared" si="34"/>
        <v>0</v>
      </c>
      <c r="U121" s="4">
        <f t="shared" si="34"/>
        <v>0</v>
      </c>
      <c r="V121" s="4">
        <f t="shared" si="34"/>
        <v>0</v>
      </c>
      <c r="W121" s="4">
        <f t="shared" si="34"/>
        <v>0</v>
      </c>
      <c r="X121" s="7">
        <f t="shared" si="34"/>
        <v>0</v>
      </c>
    </row>
    <row r="122" spans="1:24" x14ac:dyDescent="0.25">
      <c r="A122" s="2">
        <v>3</v>
      </c>
      <c r="B122" s="4">
        <f>IF(3&lt;=N,(3-0.5)*dx,"")</f>
        <v>0.11904761904761904</v>
      </c>
      <c r="D122" s="7">
        <f t="shared" si="33"/>
        <v>0</v>
      </c>
      <c r="E122" s="4">
        <f t="shared" si="33"/>
        <v>0</v>
      </c>
      <c r="F122" s="4">
        <f t="shared" si="33"/>
        <v>0</v>
      </c>
      <c r="G122" s="4">
        <f t="shared" si="33"/>
        <v>0</v>
      </c>
      <c r="H122" s="4">
        <f t="shared" si="33"/>
        <v>0</v>
      </c>
      <c r="I122" s="4">
        <f t="shared" si="33"/>
        <v>0</v>
      </c>
      <c r="J122" s="4">
        <f t="shared" si="33"/>
        <v>0</v>
      </c>
      <c r="K122" s="4">
        <f t="shared" si="33"/>
        <v>0</v>
      </c>
      <c r="L122" s="4">
        <f t="shared" si="33"/>
        <v>0</v>
      </c>
      <c r="M122" s="4">
        <f t="shared" si="33"/>
        <v>0</v>
      </c>
      <c r="N122" s="4">
        <f t="shared" si="34"/>
        <v>0</v>
      </c>
      <c r="O122" s="4">
        <f t="shared" si="34"/>
        <v>0</v>
      </c>
      <c r="P122" s="4">
        <f t="shared" si="34"/>
        <v>0</v>
      </c>
      <c r="Q122" s="4">
        <f t="shared" si="34"/>
        <v>0</v>
      </c>
      <c r="R122" s="4">
        <f t="shared" si="34"/>
        <v>0</v>
      </c>
      <c r="S122" s="4">
        <f t="shared" si="34"/>
        <v>0</v>
      </c>
      <c r="T122" s="4">
        <f t="shared" si="34"/>
        <v>0</v>
      </c>
      <c r="U122" s="4">
        <f t="shared" si="34"/>
        <v>0</v>
      </c>
      <c r="V122" s="4">
        <f t="shared" si="34"/>
        <v>0</v>
      </c>
      <c r="W122" s="4">
        <f t="shared" si="34"/>
        <v>0</v>
      </c>
      <c r="X122" s="7">
        <f t="shared" si="34"/>
        <v>0</v>
      </c>
    </row>
    <row r="123" spans="1:24" x14ac:dyDescent="0.25">
      <c r="A123" s="2">
        <v>4</v>
      </c>
      <c r="B123" s="4">
        <f>IF(4&lt;=N,(4-0.5)*dx,"")</f>
        <v>0.16666666666666666</v>
      </c>
      <c r="D123" s="7">
        <f t="shared" si="33"/>
        <v>0</v>
      </c>
      <c r="E123" s="4">
        <f t="shared" si="33"/>
        <v>0</v>
      </c>
      <c r="F123" s="4">
        <f t="shared" si="33"/>
        <v>0</v>
      </c>
      <c r="G123" s="4">
        <f t="shared" si="33"/>
        <v>0</v>
      </c>
      <c r="H123" s="4">
        <f t="shared" si="33"/>
        <v>0</v>
      </c>
      <c r="I123" s="4">
        <f t="shared" si="33"/>
        <v>0</v>
      </c>
      <c r="J123" s="4">
        <f t="shared" si="33"/>
        <v>0</v>
      </c>
      <c r="K123" s="4">
        <f t="shared" si="33"/>
        <v>0</v>
      </c>
      <c r="L123" s="4">
        <f t="shared" si="33"/>
        <v>0</v>
      </c>
      <c r="M123" s="4">
        <f t="shared" si="33"/>
        <v>0</v>
      </c>
      <c r="N123" s="4">
        <f t="shared" si="34"/>
        <v>0</v>
      </c>
      <c r="O123" s="4">
        <f t="shared" si="34"/>
        <v>0</v>
      </c>
      <c r="P123" s="4">
        <f t="shared" si="34"/>
        <v>0</v>
      </c>
      <c r="Q123" s="4">
        <f t="shared" si="34"/>
        <v>0</v>
      </c>
      <c r="R123" s="4">
        <f t="shared" si="34"/>
        <v>0</v>
      </c>
      <c r="S123" s="4">
        <f t="shared" si="34"/>
        <v>0</v>
      </c>
      <c r="T123" s="4">
        <f t="shared" si="34"/>
        <v>0</v>
      </c>
      <c r="U123" s="4">
        <f t="shared" si="34"/>
        <v>0</v>
      </c>
      <c r="V123" s="4">
        <f t="shared" si="34"/>
        <v>0</v>
      </c>
      <c r="W123" s="4">
        <f t="shared" si="34"/>
        <v>0</v>
      </c>
      <c r="X123" s="7">
        <f t="shared" si="34"/>
        <v>0</v>
      </c>
    </row>
    <row r="124" spans="1:24" x14ac:dyDescent="0.25">
      <c r="A124" s="2">
        <v>5</v>
      </c>
      <c r="B124" s="4">
        <f>IF(5&lt;=N,(5-0.5)*dx,"")</f>
        <v>0.21428571428571427</v>
      </c>
      <c r="D124" s="7">
        <f t="shared" si="33"/>
        <v>0</v>
      </c>
      <c r="E124" s="4">
        <f t="shared" si="33"/>
        <v>0</v>
      </c>
      <c r="F124" s="4">
        <f t="shared" si="33"/>
        <v>0</v>
      </c>
      <c r="G124" s="4">
        <f t="shared" si="33"/>
        <v>0</v>
      </c>
      <c r="H124" s="4">
        <f t="shared" si="33"/>
        <v>0</v>
      </c>
      <c r="I124" s="4">
        <f t="shared" si="33"/>
        <v>0</v>
      </c>
      <c r="J124" s="4">
        <f t="shared" si="33"/>
        <v>0</v>
      </c>
      <c r="K124" s="4">
        <f t="shared" si="33"/>
        <v>0</v>
      </c>
      <c r="L124" s="4">
        <f t="shared" si="33"/>
        <v>0</v>
      </c>
      <c r="M124" s="4">
        <f t="shared" si="33"/>
        <v>0</v>
      </c>
      <c r="N124" s="4">
        <f t="shared" si="34"/>
        <v>0</v>
      </c>
      <c r="O124" s="4">
        <f t="shared" si="34"/>
        <v>0</v>
      </c>
      <c r="P124" s="4">
        <f t="shared" si="34"/>
        <v>0</v>
      </c>
      <c r="Q124" s="4">
        <f t="shared" si="34"/>
        <v>0</v>
      </c>
      <c r="R124" s="4">
        <f t="shared" si="34"/>
        <v>0</v>
      </c>
      <c r="S124" s="4">
        <f t="shared" si="34"/>
        <v>0</v>
      </c>
      <c r="T124" s="4">
        <f t="shared" si="34"/>
        <v>0</v>
      </c>
      <c r="U124" s="4">
        <f t="shared" si="34"/>
        <v>0</v>
      </c>
      <c r="V124" s="4">
        <f t="shared" si="34"/>
        <v>0</v>
      </c>
      <c r="W124" s="4">
        <f t="shared" si="34"/>
        <v>0</v>
      </c>
      <c r="X124" s="7">
        <f t="shared" si="34"/>
        <v>0</v>
      </c>
    </row>
    <row r="125" spans="1:24" x14ac:dyDescent="0.25">
      <c r="A125" s="2">
        <v>6</v>
      </c>
      <c r="B125" s="4">
        <f>IF(6&lt;=N,(6-0.5)*dx,"")</f>
        <v>0.26190476190476186</v>
      </c>
      <c r="D125" s="7">
        <f t="shared" si="33"/>
        <v>0</v>
      </c>
      <c r="E125" s="4">
        <f t="shared" si="33"/>
        <v>0</v>
      </c>
      <c r="F125" s="4">
        <f t="shared" si="33"/>
        <v>0</v>
      </c>
      <c r="G125" s="4">
        <f t="shared" si="33"/>
        <v>0</v>
      </c>
      <c r="H125" s="4">
        <f t="shared" si="33"/>
        <v>0</v>
      </c>
      <c r="I125" s="4">
        <f t="shared" si="33"/>
        <v>0</v>
      </c>
      <c r="J125" s="4">
        <f t="shared" si="33"/>
        <v>0</v>
      </c>
      <c r="K125" s="4">
        <f t="shared" si="33"/>
        <v>0</v>
      </c>
      <c r="L125" s="4">
        <f t="shared" si="33"/>
        <v>0</v>
      </c>
      <c r="M125" s="4">
        <f t="shared" si="33"/>
        <v>0</v>
      </c>
      <c r="N125" s="4">
        <f t="shared" si="34"/>
        <v>0</v>
      </c>
      <c r="O125" s="4">
        <f t="shared" si="34"/>
        <v>0</v>
      </c>
      <c r="P125" s="4">
        <f t="shared" si="34"/>
        <v>0</v>
      </c>
      <c r="Q125" s="4">
        <f t="shared" si="34"/>
        <v>0</v>
      </c>
      <c r="R125" s="4">
        <f t="shared" si="34"/>
        <v>0</v>
      </c>
      <c r="S125" s="4">
        <f t="shared" si="34"/>
        <v>0</v>
      </c>
      <c r="T125" s="4">
        <f t="shared" si="34"/>
        <v>0</v>
      </c>
      <c r="U125" s="4">
        <f t="shared" si="34"/>
        <v>0</v>
      </c>
      <c r="V125" s="4">
        <f t="shared" si="34"/>
        <v>0</v>
      </c>
      <c r="W125" s="4">
        <f t="shared" si="34"/>
        <v>0</v>
      </c>
      <c r="X125" s="7">
        <f t="shared" si="34"/>
        <v>0</v>
      </c>
    </row>
    <row r="126" spans="1:24" x14ac:dyDescent="0.25">
      <c r="A126" s="2">
        <v>7</v>
      </c>
      <c r="B126" s="4">
        <f>IF(7&lt;=N,(7-0.5)*dx,"")</f>
        <v>0.30952380952380953</v>
      </c>
      <c r="D126" s="7">
        <f t="shared" si="33"/>
        <v>0</v>
      </c>
      <c r="E126" s="4">
        <f t="shared" si="33"/>
        <v>0</v>
      </c>
      <c r="F126" s="4">
        <f t="shared" si="33"/>
        <v>0</v>
      </c>
      <c r="G126" s="4">
        <f t="shared" si="33"/>
        <v>0</v>
      </c>
      <c r="H126" s="4">
        <f t="shared" si="33"/>
        <v>0</v>
      </c>
      <c r="I126" s="4">
        <f t="shared" si="33"/>
        <v>0</v>
      </c>
      <c r="J126" s="4">
        <f t="shared" si="33"/>
        <v>0</v>
      </c>
      <c r="K126" s="4">
        <f t="shared" si="33"/>
        <v>0</v>
      </c>
      <c r="L126" s="4">
        <f t="shared" si="33"/>
        <v>0</v>
      </c>
      <c r="M126" s="4">
        <f t="shared" si="33"/>
        <v>0</v>
      </c>
      <c r="N126" s="4">
        <f t="shared" si="34"/>
        <v>0</v>
      </c>
      <c r="O126" s="4">
        <f t="shared" si="34"/>
        <v>0</v>
      </c>
      <c r="P126" s="4">
        <f t="shared" si="34"/>
        <v>0</v>
      </c>
      <c r="Q126" s="4">
        <f t="shared" si="34"/>
        <v>0</v>
      </c>
      <c r="R126" s="4">
        <f t="shared" si="34"/>
        <v>0</v>
      </c>
      <c r="S126" s="4">
        <f t="shared" si="34"/>
        <v>0</v>
      </c>
      <c r="T126" s="4">
        <f t="shared" si="34"/>
        <v>0</v>
      </c>
      <c r="U126" s="4">
        <f t="shared" si="34"/>
        <v>0</v>
      </c>
      <c r="V126" s="4">
        <f t="shared" si="34"/>
        <v>0</v>
      </c>
      <c r="W126" s="4">
        <f t="shared" si="34"/>
        <v>0</v>
      </c>
      <c r="X126" s="7">
        <f t="shared" si="34"/>
        <v>0</v>
      </c>
    </row>
    <row r="127" spans="1:24" x14ac:dyDescent="0.25">
      <c r="A127" s="2">
        <v>8</v>
      </c>
      <c r="B127" s="4">
        <f>IF(8&lt;=N,(8-0.5)*dx,"")</f>
        <v>0.3571428571428571</v>
      </c>
      <c r="D127" s="7">
        <f t="shared" si="33"/>
        <v>0</v>
      </c>
      <c r="E127" s="4">
        <f t="shared" si="33"/>
        <v>0</v>
      </c>
      <c r="F127" s="4">
        <f t="shared" si="33"/>
        <v>0</v>
      </c>
      <c r="G127" s="4">
        <f t="shared" si="33"/>
        <v>0</v>
      </c>
      <c r="H127" s="4">
        <f t="shared" si="33"/>
        <v>0</v>
      </c>
      <c r="I127" s="4">
        <f t="shared" si="33"/>
        <v>0</v>
      </c>
      <c r="J127" s="4">
        <f t="shared" si="33"/>
        <v>0</v>
      </c>
      <c r="K127" s="4">
        <f t="shared" si="33"/>
        <v>0</v>
      </c>
      <c r="L127" s="4">
        <f t="shared" si="33"/>
        <v>0</v>
      </c>
      <c r="M127" s="4">
        <f t="shared" si="33"/>
        <v>0</v>
      </c>
      <c r="N127" s="4">
        <f t="shared" si="34"/>
        <v>0</v>
      </c>
      <c r="O127" s="4">
        <f t="shared" si="34"/>
        <v>0</v>
      </c>
      <c r="P127" s="4">
        <f t="shared" si="34"/>
        <v>0</v>
      </c>
      <c r="Q127" s="4">
        <f t="shared" si="34"/>
        <v>0</v>
      </c>
      <c r="R127" s="4">
        <f t="shared" si="34"/>
        <v>0</v>
      </c>
      <c r="S127" s="4">
        <f t="shared" si="34"/>
        <v>0</v>
      </c>
      <c r="T127" s="4">
        <f t="shared" si="34"/>
        <v>0</v>
      </c>
      <c r="U127" s="4">
        <f t="shared" si="34"/>
        <v>0</v>
      </c>
      <c r="V127" s="4">
        <f t="shared" si="34"/>
        <v>0</v>
      </c>
      <c r="W127" s="4">
        <f t="shared" si="34"/>
        <v>0</v>
      </c>
      <c r="X127" s="7">
        <f t="shared" si="34"/>
        <v>0</v>
      </c>
    </row>
    <row r="128" spans="1:24" x14ac:dyDescent="0.25">
      <c r="A128" s="2">
        <v>9</v>
      </c>
      <c r="B128" s="4">
        <f>IF(9&lt;=N,(9-0.5)*dx,"")</f>
        <v>0.40476190476190477</v>
      </c>
      <c r="D128" s="7">
        <f t="shared" si="33"/>
        <v>0</v>
      </c>
      <c r="E128" s="4">
        <f t="shared" si="33"/>
        <v>0</v>
      </c>
      <c r="F128" s="4">
        <f t="shared" si="33"/>
        <v>0</v>
      </c>
      <c r="G128" s="4">
        <f t="shared" si="33"/>
        <v>0</v>
      </c>
      <c r="H128" s="4">
        <f t="shared" si="33"/>
        <v>0</v>
      </c>
      <c r="I128" s="4">
        <f t="shared" si="33"/>
        <v>0</v>
      </c>
      <c r="J128" s="4">
        <f t="shared" si="33"/>
        <v>0</v>
      </c>
      <c r="K128" s="4">
        <f t="shared" si="33"/>
        <v>0</v>
      </c>
      <c r="L128" s="4">
        <f t="shared" si="33"/>
        <v>0</v>
      </c>
      <c r="M128" s="4">
        <f t="shared" si="33"/>
        <v>0</v>
      </c>
      <c r="N128" s="4">
        <f t="shared" si="34"/>
        <v>0</v>
      </c>
      <c r="O128" s="4">
        <f t="shared" si="34"/>
        <v>0</v>
      </c>
      <c r="P128" s="4">
        <f t="shared" si="34"/>
        <v>0</v>
      </c>
      <c r="Q128" s="4">
        <f t="shared" si="34"/>
        <v>0</v>
      </c>
      <c r="R128" s="4">
        <f t="shared" si="34"/>
        <v>0</v>
      </c>
      <c r="S128" s="4">
        <f t="shared" si="34"/>
        <v>0</v>
      </c>
      <c r="T128" s="4">
        <f t="shared" si="34"/>
        <v>0</v>
      </c>
      <c r="U128" s="4">
        <f t="shared" si="34"/>
        <v>0</v>
      </c>
      <c r="V128" s="4">
        <f t="shared" si="34"/>
        <v>0</v>
      </c>
      <c r="W128" s="4">
        <f t="shared" si="34"/>
        <v>0</v>
      </c>
      <c r="X128" s="7">
        <f t="shared" si="34"/>
        <v>0</v>
      </c>
    </row>
    <row r="129" spans="1:24" x14ac:dyDescent="0.25">
      <c r="A129" s="2">
        <v>10</v>
      </c>
      <c r="B129" s="4">
        <f>IF(10&lt;=N,(10-0.5)*dx,"")</f>
        <v>0.45238095238095233</v>
      </c>
      <c r="D129" s="7">
        <f t="shared" si="33"/>
        <v>0</v>
      </c>
      <c r="E129" s="4">
        <f t="shared" si="33"/>
        <v>0</v>
      </c>
      <c r="F129" s="4">
        <f t="shared" si="33"/>
        <v>0</v>
      </c>
      <c r="G129" s="4">
        <f t="shared" si="33"/>
        <v>0</v>
      </c>
      <c r="H129" s="4">
        <f t="shared" si="33"/>
        <v>0</v>
      </c>
      <c r="I129" s="4">
        <f t="shared" si="33"/>
        <v>0</v>
      </c>
      <c r="J129" s="4">
        <f t="shared" si="33"/>
        <v>0</v>
      </c>
      <c r="K129" s="4">
        <f t="shared" si="33"/>
        <v>0</v>
      </c>
      <c r="L129" s="4">
        <f t="shared" si="33"/>
        <v>0</v>
      </c>
      <c r="M129" s="4">
        <f t="shared" si="33"/>
        <v>0</v>
      </c>
      <c r="N129" s="4">
        <f t="shared" si="34"/>
        <v>0</v>
      </c>
      <c r="O129" s="4">
        <f t="shared" si="34"/>
        <v>0</v>
      </c>
      <c r="P129" s="4">
        <f t="shared" si="34"/>
        <v>0</v>
      </c>
      <c r="Q129" s="4">
        <f t="shared" si="34"/>
        <v>0</v>
      </c>
      <c r="R129" s="4">
        <f t="shared" si="34"/>
        <v>0</v>
      </c>
      <c r="S129" s="4">
        <f t="shared" si="34"/>
        <v>0</v>
      </c>
      <c r="T129" s="4">
        <f t="shared" si="34"/>
        <v>0</v>
      </c>
      <c r="U129" s="4">
        <f t="shared" si="34"/>
        <v>0</v>
      </c>
      <c r="V129" s="4">
        <f t="shared" si="34"/>
        <v>0</v>
      </c>
      <c r="W129" s="4">
        <f t="shared" si="34"/>
        <v>0</v>
      </c>
      <c r="X129" s="7">
        <f t="shared" si="34"/>
        <v>0</v>
      </c>
    </row>
    <row r="130" spans="1:24" x14ac:dyDescent="0.25">
      <c r="A130" s="2">
        <v>11</v>
      </c>
      <c r="B130" s="4">
        <f>IF(11&lt;=N,(11-0.5)*dx,"")</f>
        <v>0.5</v>
      </c>
      <c r="D130" s="7">
        <f t="shared" ref="D130:M140" si="35">IF(COUNT($B130,D$118)&lt;2,"",0)</f>
        <v>0</v>
      </c>
      <c r="E130" s="4">
        <f t="shared" si="35"/>
        <v>0</v>
      </c>
      <c r="F130" s="4">
        <f t="shared" si="35"/>
        <v>0</v>
      </c>
      <c r="G130" s="4">
        <f t="shared" si="35"/>
        <v>0</v>
      </c>
      <c r="H130" s="4">
        <f t="shared" si="35"/>
        <v>0</v>
      </c>
      <c r="I130" s="4">
        <f t="shared" si="35"/>
        <v>0</v>
      </c>
      <c r="J130" s="4">
        <f t="shared" si="35"/>
        <v>0</v>
      </c>
      <c r="K130" s="4">
        <f t="shared" si="35"/>
        <v>0</v>
      </c>
      <c r="L130" s="4">
        <f t="shared" si="35"/>
        <v>0</v>
      </c>
      <c r="M130" s="4">
        <f t="shared" si="35"/>
        <v>0</v>
      </c>
      <c r="N130" s="4">
        <f t="shared" ref="N130:X140" si="36">IF(COUNT($B130,N$118)&lt;2,"",0)</f>
        <v>0</v>
      </c>
      <c r="O130" s="4">
        <f t="shared" si="36"/>
        <v>0</v>
      </c>
      <c r="P130" s="4">
        <f t="shared" si="36"/>
        <v>0</v>
      </c>
      <c r="Q130" s="4">
        <f t="shared" si="36"/>
        <v>0</v>
      </c>
      <c r="R130" s="4">
        <f t="shared" si="36"/>
        <v>0</v>
      </c>
      <c r="S130" s="4">
        <f t="shared" si="36"/>
        <v>0</v>
      </c>
      <c r="T130" s="4">
        <f t="shared" si="36"/>
        <v>0</v>
      </c>
      <c r="U130" s="4">
        <f t="shared" si="36"/>
        <v>0</v>
      </c>
      <c r="V130" s="4">
        <f t="shared" si="36"/>
        <v>0</v>
      </c>
      <c r="W130" s="4">
        <f t="shared" si="36"/>
        <v>0</v>
      </c>
      <c r="X130" s="7">
        <f t="shared" si="36"/>
        <v>0</v>
      </c>
    </row>
    <row r="131" spans="1:24" x14ac:dyDescent="0.25">
      <c r="A131" s="2">
        <v>12</v>
      </c>
      <c r="B131" s="4">
        <f>IF(12&lt;=N,(12-0.5)*dx,"")</f>
        <v>0.54761904761904756</v>
      </c>
      <c r="D131" s="7">
        <f t="shared" si="35"/>
        <v>0</v>
      </c>
      <c r="E131" s="4">
        <f t="shared" si="35"/>
        <v>0</v>
      </c>
      <c r="F131" s="4">
        <f t="shared" si="35"/>
        <v>0</v>
      </c>
      <c r="G131" s="4">
        <f t="shared" si="35"/>
        <v>0</v>
      </c>
      <c r="H131" s="4">
        <f t="shared" si="35"/>
        <v>0</v>
      </c>
      <c r="I131" s="4">
        <f t="shared" si="35"/>
        <v>0</v>
      </c>
      <c r="J131" s="4">
        <f t="shared" si="35"/>
        <v>0</v>
      </c>
      <c r="K131" s="4">
        <f t="shared" si="35"/>
        <v>0</v>
      </c>
      <c r="L131" s="4">
        <f t="shared" si="35"/>
        <v>0</v>
      </c>
      <c r="M131" s="4">
        <f t="shared" si="35"/>
        <v>0</v>
      </c>
      <c r="N131" s="4">
        <f t="shared" si="36"/>
        <v>0</v>
      </c>
      <c r="O131" s="4">
        <f t="shared" si="36"/>
        <v>0</v>
      </c>
      <c r="P131" s="4">
        <f t="shared" si="36"/>
        <v>0</v>
      </c>
      <c r="Q131" s="4">
        <f t="shared" si="36"/>
        <v>0</v>
      </c>
      <c r="R131" s="4">
        <f t="shared" si="36"/>
        <v>0</v>
      </c>
      <c r="S131" s="4">
        <f t="shared" si="36"/>
        <v>0</v>
      </c>
      <c r="T131" s="4">
        <f t="shared" si="36"/>
        <v>0</v>
      </c>
      <c r="U131" s="4">
        <f t="shared" si="36"/>
        <v>0</v>
      </c>
      <c r="V131" s="4">
        <f t="shared" si="36"/>
        <v>0</v>
      </c>
      <c r="W131" s="4">
        <f t="shared" si="36"/>
        <v>0</v>
      </c>
      <c r="X131" s="7">
        <f t="shared" si="36"/>
        <v>0</v>
      </c>
    </row>
    <row r="132" spans="1:24" x14ac:dyDescent="0.25">
      <c r="A132" s="2">
        <v>13</v>
      </c>
      <c r="B132" s="4">
        <f>IF(13&lt;=N,(13-0.5)*dx,"")</f>
        <v>0.59523809523809523</v>
      </c>
      <c r="D132" s="7">
        <f t="shared" si="35"/>
        <v>0</v>
      </c>
      <c r="E132" s="4">
        <f t="shared" si="35"/>
        <v>0</v>
      </c>
      <c r="F132" s="4">
        <f t="shared" si="35"/>
        <v>0</v>
      </c>
      <c r="G132" s="4">
        <f t="shared" si="35"/>
        <v>0</v>
      </c>
      <c r="H132" s="4">
        <f t="shared" si="35"/>
        <v>0</v>
      </c>
      <c r="I132" s="4">
        <f t="shared" si="35"/>
        <v>0</v>
      </c>
      <c r="J132" s="4">
        <f t="shared" si="35"/>
        <v>0</v>
      </c>
      <c r="K132" s="4">
        <f t="shared" si="35"/>
        <v>0</v>
      </c>
      <c r="L132" s="4">
        <f t="shared" si="35"/>
        <v>0</v>
      </c>
      <c r="M132" s="4">
        <f t="shared" si="35"/>
        <v>0</v>
      </c>
      <c r="N132" s="4">
        <f t="shared" si="36"/>
        <v>0</v>
      </c>
      <c r="O132" s="4">
        <f t="shared" si="36"/>
        <v>0</v>
      </c>
      <c r="P132" s="4">
        <f t="shared" si="36"/>
        <v>0</v>
      </c>
      <c r="Q132" s="4">
        <f t="shared" si="36"/>
        <v>0</v>
      </c>
      <c r="R132" s="4">
        <f t="shared" si="36"/>
        <v>0</v>
      </c>
      <c r="S132" s="4">
        <f t="shared" si="36"/>
        <v>0</v>
      </c>
      <c r="T132" s="4">
        <f t="shared" si="36"/>
        <v>0</v>
      </c>
      <c r="U132" s="4">
        <f t="shared" si="36"/>
        <v>0</v>
      </c>
      <c r="V132" s="4">
        <f t="shared" si="36"/>
        <v>0</v>
      </c>
      <c r="W132" s="4">
        <f t="shared" si="36"/>
        <v>0</v>
      </c>
      <c r="X132" s="7">
        <f t="shared" si="36"/>
        <v>0</v>
      </c>
    </row>
    <row r="133" spans="1:24" x14ac:dyDescent="0.25">
      <c r="A133" s="2">
        <v>14</v>
      </c>
      <c r="B133" s="4">
        <f>IF(14&lt;=N,(14-0.5)*dx,"")</f>
        <v>0.64285714285714279</v>
      </c>
      <c r="D133" s="7">
        <f t="shared" si="35"/>
        <v>0</v>
      </c>
      <c r="E133" s="4">
        <f t="shared" si="35"/>
        <v>0</v>
      </c>
      <c r="F133" s="4">
        <f t="shared" si="35"/>
        <v>0</v>
      </c>
      <c r="G133" s="4">
        <f t="shared" si="35"/>
        <v>0</v>
      </c>
      <c r="H133" s="4">
        <f t="shared" si="35"/>
        <v>0</v>
      </c>
      <c r="I133" s="4">
        <f t="shared" si="35"/>
        <v>0</v>
      </c>
      <c r="J133" s="4">
        <f t="shared" si="35"/>
        <v>0</v>
      </c>
      <c r="K133" s="4">
        <f t="shared" si="35"/>
        <v>0</v>
      </c>
      <c r="L133" s="4">
        <f t="shared" si="35"/>
        <v>0</v>
      </c>
      <c r="M133" s="4">
        <f t="shared" si="35"/>
        <v>0</v>
      </c>
      <c r="N133" s="4">
        <f t="shared" si="36"/>
        <v>0</v>
      </c>
      <c r="O133" s="4">
        <f t="shared" si="36"/>
        <v>0</v>
      </c>
      <c r="P133" s="4">
        <f t="shared" si="36"/>
        <v>0</v>
      </c>
      <c r="Q133" s="4">
        <f t="shared" si="36"/>
        <v>0</v>
      </c>
      <c r="R133" s="4">
        <f t="shared" si="36"/>
        <v>0</v>
      </c>
      <c r="S133" s="4">
        <f t="shared" si="36"/>
        <v>0</v>
      </c>
      <c r="T133" s="4">
        <f t="shared" si="36"/>
        <v>0</v>
      </c>
      <c r="U133" s="4">
        <f t="shared" si="36"/>
        <v>0</v>
      </c>
      <c r="V133" s="4">
        <f t="shared" si="36"/>
        <v>0</v>
      </c>
      <c r="W133" s="4">
        <f t="shared" si="36"/>
        <v>0</v>
      </c>
      <c r="X133" s="7">
        <f t="shared" si="36"/>
        <v>0</v>
      </c>
    </row>
    <row r="134" spans="1:24" x14ac:dyDescent="0.25">
      <c r="A134" s="2">
        <v>15</v>
      </c>
      <c r="B134" s="4">
        <f>IF(15&lt;=N,(15-0.5)*dx,"")</f>
        <v>0.69047619047619047</v>
      </c>
      <c r="D134" s="7">
        <f t="shared" si="35"/>
        <v>0</v>
      </c>
      <c r="E134" s="4">
        <f t="shared" si="35"/>
        <v>0</v>
      </c>
      <c r="F134" s="4">
        <f t="shared" si="35"/>
        <v>0</v>
      </c>
      <c r="G134" s="4">
        <f t="shared" si="35"/>
        <v>0</v>
      </c>
      <c r="H134" s="4">
        <f t="shared" si="35"/>
        <v>0</v>
      </c>
      <c r="I134" s="4">
        <f t="shared" si="35"/>
        <v>0</v>
      </c>
      <c r="J134" s="4">
        <f t="shared" si="35"/>
        <v>0</v>
      </c>
      <c r="K134" s="4">
        <f t="shared" si="35"/>
        <v>0</v>
      </c>
      <c r="L134" s="4">
        <f t="shared" si="35"/>
        <v>0</v>
      </c>
      <c r="M134" s="4">
        <f t="shared" si="35"/>
        <v>0</v>
      </c>
      <c r="N134" s="4">
        <f t="shared" si="36"/>
        <v>0</v>
      </c>
      <c r="O134" s="4">
        <f t="shared" si="36"/>
        <v>0</v>
      </c>
      <c r="P134" s="4">
        <f t="shared" si="36"/>
        <v>0</v>
      </c>
      <c r="Q134" s="4">
        <f t="shared" si="36"/>
        <v>0</v>
      </c>
      <c r="R134" s="4">
        <f t="shared" si="36"/>
        <v>0</v>
      </c>
      <c r="S134" s="4">
        <f t="shared" si="36"/>
        <v>0</v>
      </c>
      <c r="T134" s="4">
        <f t="shared" si="36"/>
        <v>0</v>
      </c>
      <c r="U134" s="4">
        <f t="shared" si="36"/>
        <v>0</v>
      </c>
      <c r="V134" s="4">
        <f t="shared" si="36"/>
        <v>0</v>
      </c>
      <c r="W134" s="4">
        <f t="shared" si="36"/>
        <v>0</v>
      </c>
      <c r="X134" s="7">
        <f t="shared" si="36"/>
        <v>0</v>
      </c>
    </row>
    <row r="135" spans="1:24" x14ac:dyDescent="0.25">
      <c r="A135" s="2">
        <v>16</v>
      </c>
      <c r="B135" s="4">
        <f>IF(16&lt;=N,(16-0.5)*dx,"")</f>
        <v>0.73809523809523803</v>
      </c>
      <c r="D135" s="7">
        <f t="shared" si="35"/>
        <v>0</v>
      </c>
      <c r="E135" s="4">
        <f t="shared" si="35"/>
        <v>0</v>
      </c>
      <c r="F135" s="4">
        <f t="shared" si="35"/>
        <v>0</v>
      </c>
      <c r="G135" s="4">
        <f t="shared" si="35"/>
        <v>0</v>
      </c>
      <c r="H135" s="4">
        <f t="shared" si="35"/>
        <v>0</v>
      </c>
      <c r="I135" s="4">
        <f t="shared" si="35"/>
        <v>0</v>
      </c>
      <c r="J135" s="4">
        <f t="shared" si="35"/>
        <v>0</v>
      </c>
      <c r="K135" s="4">
        <f t="shared" si="35"/>
        <v>0</v>
      </c>
      <c r="L135" s="4">
        <f t="shared" si="35"/>
        <v>0</v>
      </c>
      <c r="M135" s="4">
        <f t="shared" si="35"/>
        <v>0</v>
      </c>
      <c r="N135" s="4">
        <f t="shared" si="36"/>
        <v>0</v>
      </c>
      <c r="O135" s="4">
        <f t="shared" si="36"/>
        <v>0</v>
      </c>
      <c r="P135" s="4">
        <f t="shared" si="36"/>
        <v>0</v>
      </c>
      <c r="Q135" s="4">
        <f t="shared" si="36"/>
        <v>0</v>
      </c>
      <c r="R135" s="4">
        <f t="shared" si="36"/>
        <v>0</v>
      </c>
      <c r="S135" s="4">
        <f t="shared" si="36"/>
        <v>0</v>
      </c>
      <c r="T135" s="4">
        <f t="shared" si="36"/>
        <v>0</v>
      </c>
      <c r="U135" s="4">
        <f t="shared" si="36"/>
        <v>0</v>
      </c>
      <c r="V135" s="4">
        <f t="shared" si="36"/>
        <v>0</v>
      </c>
      <c r="W135" s="4">
        <f t="shared" si="36"/>
        <v>0</v>
      </c>
      <c r="X135" s="7">
        <f t="shared" si="36"/>
        <v>0</v>
      </c>
    </row>
    <row r="136" spans="1:24" x14ac:dyDescent="0.25">
      <c r="A136" s="2">
        <v>17</v>
      </c>
      <c r="B136" s="4">
        <f>IF(17&lt;=N,(17-0.5)*dx,"")</f>
        <v>0.7857142857142857</v>
      </c>
      <c r="D136" s="7">
        <f t="shared" si="35"/>
        <v>0</v>
      </c>
      <c r="E136" s="4">
        <f t="shared" si="35"/>
        <v>0</v>
      </c>
      <c r="F136" s="4">
        <f t="shared" si="35"/>
        <v>0</v>
      </c>
      <c r="G136" s="4">
        <f t="shared" si="35"/>
        <v>0</v>
      </c>
      <c r="H136" s="4">
        <f t="shared" si="35"/>
        <v>0</v>
      </c>
      <c r="I136" s="4">
        <f t="shared" si="35"/>
        <v>0</v>
      </c>
      <c r="J136" s="4">
        <f t="shared" si="35"/>
        <v>0</v>
      </c>
      <c r="K136" s="4">
        <f t="shared" si="35"/>
        <v>0</v>
      </c>
      <c r="L136" s="4">
        <f t="shared" si="35"/>
        <v>0</v>
      </c>
      <c r="M136" s="4">
        <f t="shared" si="35"/>
        <v>0</v>
      </c>
      <c r="N136" s="4">
        <f t="shared" si="36"/>
        <v>0</v>
      </c>
      <c r="O136" s="4">
        <f t="shared" si="36"/>
        <v>0</v>
      </c>
      <c r="P136" s="4">
        <f t="shared" si="36"/>
        <v>0</v>
      </c>
      <c r="Q136" s="4">
        <f t="shared" si="36"/>
        <v>0</v>
      </c>
      <c r="R136" s="4">
        <f t="shared" si="36"/>
        <v>0</v>
      </c>
      <c r="S136" s="4">
        <f t="shared" si="36"/>
        <v>0</v>
      </c>
      <c r="T136" s="4">
        <f t="shared" si="36"/>
        <v>0</v>
      </c>
      <c r="U136" s="4">
        <f t="shared" si="36"/>
        <v>0</v>
      </c>
      <c r="V136" s="4">
        <f t="shared" si="36"/>
        <v>0</v>
      </c>
      <c r="W136" s="4">
        <f t="shared" si="36"/>
        <v>0</v>
      </c>
      <c r="X136" s="7">
        <f t="shared" si="36"/>
        <v>0</v>
      </c>
    </row>
    <row r="137" spans="1:24" x14ac:dyDescent="0.25">
      <c r="A137" s="2">
        <v>18</v>
      </c>
      <c r="B137" s="4">
        <f>IF(18&lt;=N,(18-0.5)*dx,"")</f>
        <v>0.83333333333333326</v>
      </c>
      <c r="D137" s="7">
        <f t="shared" si="35"/>
        <v>0</v>
      </c>
      <c r="E137" s="4">
        <f t="shared" si="35"/>
        <v>0</v>
      </c>
      <c r="F137" s="4">
        <f t="shared" si="35"/>
        <v>0</v>
      </c>
      <c r="G137" s="4">
        <f t="shared" si="35"/>
        <v>0</v>
      </c>
      <c r="H137" s="4">
        <f t="shared" si="35"/>
        <v>0</v>
      </c>
      <c r="I137" s="4">
        <f t="shared" si="35"/>
        <v>0</v>
      </c>
      <c r="J137" s="4">
        <f t="shared" si="35"/>
        <v>0</v>
      </c>
      <c r="K137" s="4">
        <f t="shared" si="35"/>
        <v>0</v>
      </c>
      <c r="L137" s="4">
        <f t="shared" si="35"/>
        <v>0</v>
      </c>
      <c r="M137" s="4">
        <f t="shared" si="35"/>
        <v>0</v>
      </c>
      <c r="N137" s="4">
        <f t="shared" si="36"/>
        <v>0</v>
      </c>
      <c r="O137" s="4">
        <f t="shared" si="36"/>
        <v>0</v>
      </c>
      <c r="P137" s="4">
        <f t="shared" si="36"/>
        <v>0</v>
      </c>
      <c r="Q137" s="4">
        <f t="shared" si="36"/>
        <v>0</v>
      </c>
      <c r="R137" s="4">
        <f t="shared" si="36"/>
        <v>0</v>
      </c>
      <c r="S137" s="4">
        <f t="shared" si="36"/>
        <v>0</v>
      </c>
      <c r="T137" s="4">
        <f t="shared" si="36"/>
        <v>0</v>
      </c>
      <c r="U137" s="4">
        <f t="shared" si="36"/>
        <v>0</v>
      </c>
      <c r="V137" s="4">
        <f t="shared" si="36"/>
        <v>0</v>
      </c>
      <c r="W137" s="4">
        <f t="shared" si="36"/>
        <v>0</v>
      </c>
      <c r="X137" s="7">
        <f t="shared" si="36"/>
        <v>0</v>
      </c>
    </row>
    <row r="138" spans="1:24" x14ac:dyDescent="0.25">
      <c r="A138" s="2">
        <v>19</v>
      </c>
      <c r="B138" s="4">
        <f>IF(19&lt;=N,(19-0.5)*dx,"")</f>
        <v>0.88095238095238093</v>
      </c>
      <c r="D138" s="7">
        <f t="shared" si="35"/>
        <v>0</v>
      </c>
      <c r="E138" s="4">
        <f t="shared" si="35"/>
        <v>0</v>
      </c>
      <c r="F138" s="4">
        <f t="shared" si="35"/>
        <v>0</v>
      </c>
      <c r="G138" s="4">
        <f t="shared" si="35"/>
        <v>0</v>
      </c>
      <c r="H138" s="4">
        <f t="shared" si="35"/>
        <v>0</v>
      </c>
      <c r="I138" s="4">
        <f t="shared" si="35"/>
        <v>0</v>
      </c>
      <c r="J138" s="4">
        <f t="shared" si="35"/>
        <v>0</v>
      </c>
      <c r="K138" s="4">
        <f t="shared" si="35"/>
        <v>0</v>
      </c>
      <c r="L138" s="4">
        <f t="shared" si="35"/>
        <v>0</v>
      </c>
      <c r="M138" s="4">
        <f t="shared" si="35"/>
        <v>0</v>
      </c>
      <c r="N138" s="4">
        <f t="shared" si="36"/>
        <v>0</v>
      </c>
      <c r="O138" s="4">
        <f t="shared" si="36"/>
        <v>0</v>
      </c>
      <c r="P138" s="4">
        <f t="shared" si="36"/>
        <v>0</v>
      </c>
      <c r="Q138" s="4">
        <f t="shared" si="36"/>
        <v>0</v>
      </c>
      <c r="R138" s="4">
        <f t="shared" si="36"/>
        <v>0</v>
      </c>
      <c r="S138" s="4">
        <f t="shared" si="36"/>
        <v>0</v>
      </c>
      <c r="T138" s="4">
        <f t="shared" si="36"/>
        <v>0</v>
      </c>
      <c r="U138" s="4">
        <f t="shared" si="36"/>
        <v>0</v>
      </c>
      <c r="V138" s="4">
        <f t="shared" si="36"/>
        <v>0</v>
      </c>
      <c r="W138" s="4">
        <f t="shared" si="36"/>
        <v>0</v>
      </c>
      <c r="X138" s="7">
        <f t="shared" si="36"/>
        <v>0</v>
      </c>
    </row>
    <row r="139" spans="1:24" x14ac:dyDescent="0.25">
      <c r="A139" s="2">
        <v>20</v>
      </c>
      <c r="B139" s="4">
        <f>IF(20&lt;=N,(20-0.5)*dx,"")</f>
        <v>0.92857142857142849</v>
      </c>
      <c r="D139" s="7">
        <f t="shared" si="35"/>
        <v>0</v>
      </c>
      <c r="E139" s="4">
        <f t="shared" si="35"/>
        <v>0</v>
      </c>
      <c r="F139" s="4">
        <f t="shared" si="35"/>
        <v>0</v>
      </c>
      <c r="G139" s="4">
        <f t="shared" si="35"/>
        <v>0</v>
      </c>
      <c r="H139" s="4">
        <f t="shared" si="35"/>
        <v>0</v>
      </c>
      <c r="I139" s="4">
        <f t="shared" si="35"/>
        <v>0</v>
      </c>
      <c r="J139" s="4">
        <f t="shared" si="35"/>
        <v>0</v>
      </c>
      <c r="K139" s="4">
        <f t="shared" si="35"/>
        <v>0</v>
      </c>
      <c r="L139" s="4">
        <f t="shared" si="35"/>
        <v>0</v>
      </c>
      <c r="M139" s="4">
        <f t="shared" si="35"/>
        <v>0</v>
      </c>
      <c r="N139" s="4">
        <f t="shared" si="36"/>
        <v>0</v>
      </c>
      <c r="O139" s="4">
        <f t="shared" si="36"/>
        <v>0</v>
      </c>
      <c r="P139" s="4">
        <f t="shared" si="36"/>
        <v>0</v>
      </c>
      <c r="Q139" s="4">
        <f t="shared" si="36"/>
        <v>0</v>
      </c>
      <c r="R139" s="4">
        <f t="shared" si="36"/>
        <v>0</v>
      </c>
      <c r="S139" s="4">
        <f t="shared" si="36"/>
        <v>0</v>
      </c>
      <c r="T139" s="4">
        <f t="shared" si="36"/>
        <v>0</v>
      </c>
      <c r="U139" s="4">
        <f t="shared" si="36"/>
        <v>0</v>
      </c>
      <c r="V139" s="4">
        <f t="shared" si="36"/>
        <v>0</v>
      </c>
      <c r="W139" s="4">
        <f t="shared" si="36"/>
        <v>0</v>
      </c>
      <c r="X139" s="7">
        <f t="shared" si="36"/>
        <v>0</v>
      </c>
    </row>
    <row r="140" spans="1:24" x14ac:dyDescent="0.25">
      <c r="A140" s="2">
        <v>21</v>
      </c>
      <c r="B140" s="4">
        <f>IF(21&lt;=N,(21-0.5)*dx,"")</f>
        <v>0.97619047619047616</v>
      </c>
      <c r="D140" s="7">
        <f t="shared" si="35"/>
        <v>0</v>
      </c>
      <c r="E140" s="7">
        <f t="shared" si="35"/>
        <v>0</v>
      </c>
      <c r="F140" s="7">
        <f t="shared" si="35"/>
        <v>0</v>
      </c>
      <c r="G140" s="7">
        <f t="shared" si="35"/>
        <v>0</v>
      </c>
      <c r="H140" s="7">
        <f t="shared" si="35"/>
        <v>0</v>
      </c>
      <c r="I140" s="7">
        <f t="shared" si="35"/>
        <v>0</v>
      </c>
      <c r="J140" s="7">
        <f t="shared" si="35"/>
        <v>0</v>
      </c>
      <c r="K140" s="7">
        <f t="shared" si="35"/>
        <v>0</v>
      </c>
      <c r="L140" s="7">
        <f t="shared" si="35"/>
        <v>0</v>
      </c>
      <c r="M140" s="7">
        <f t="shared" si="35"/>
        <v>0</v>
      </c>
      <c r="N140" s="7">
        <f t="shared" si="36"/>
        <v>0</v>
      </c>
      <c r="O140" s="7">
        <f t="shared" si="36"/>
        <v>0</v>
      </c>
      <c r="P140" s="7">
        <f t="shared" si="36"/>
        <v>0</v>
      </c>
      <c r="Q140" s="7">
        <f t="shared" si="36"/>
        <v>0</v>
      </c>
      <c r="R140" s="7">
        <f t="shared" si="36"/>
        <v>0</v>
      </c>
      <c r="S140" s="7">
        <f t="shared" si="36"/>
        <v>0</v>
      </c>
      <c r="T140" s="7">
        <f t="shared" si="36"/>
        <v>0</v>
      </c>
      <c r="U140" s="7">
        <f t="shared" si="36"/>
        <v>0</v>
      </c>
      <c r="V140" s="7">
        <f t="shared" si="36"/>
        <v>0</v>
      </c>
      <c r="W140" s="7">
        <f t="shared" si="36"/>
        <v>0</v>
      </c>
      <c r="X140" s="7">
        <f t="shared" si="36"/>
        <v>0</v>
      </c>
    </row>
    <row r="144" spans="1:24" ht="15.75" x14ac:dyDescent="0.25">
      <c r="A144" s="5" t="s">
        <v>56</v>
      </c>
    </row>
    <row r="145" spans="1:24" x14ac:dyDescent="0.25">
      <c r="A145" s="2" t="s">
        <v>48</v>
      </c>
      <c r="D145" s="2">
        <v>1</v>
      </c>
      <c r="E145" s="2">
        <v>2</v>
      </c>
      <c r="F145" s="2">
        <v>3</v>
      </c>
      <c r="G145" s="2">
        <v>4</v>
      </c>
      <c r="H145" s="2">
        <v>5</v>
      </c>
      <c r="I145" s="2">
        <v>6</v>
      </c>
      <c r="J145" s="2">
        <v>7</v>
      </c>
      <c r="K145" s="2">
        <v>8</v>
      </c>
      <c r="L145" s="2">
        <v>9</v>
      </c>
      <c r="M145" s="2">
        <v>10</v>
      </c>
      <c r="N145" s="2">
        <v>11</v>
      </c>
      <c r="O145" s="2">
        <v>12</v>
      </c>
      <c r="P145" s="2">
        <v>13</v>
      </c>
      <c r="Q145" s="2">
        <v>14</v>
      </c>
      <c r="R145" s="2">
        <v>15</v>
      </c>
      <c r="S145" s="2">
        <v>16</v>
      </c>
      <c r="T145" s="2">
        <v>17</v>
      </c>
      <c r="U145" s="2">
        <v>18</v>
      </c>
      <c r="V145" s="2">
        <v>19</v>
      </c>
      <c r="W145" s="2">
        <v>20</v>
      </c>
      <c r="X145" s="2">
        <v>21</v>
      </c>
    </row>
    <row r="146" spans="1:24" x14ac:dyDescent="0.25">
      <c r="A146" s="2" t="s">
        <v>49</v>
      </c>
      <c r="D146" s="4">
        <f>IF(1&lt;=N,(1-0.5)*dx,"")</f>
        <v>2.3809523809523808E-2</v>
      </c>
      <c r="E146" s="4">
        <f>IF(2&lt;=N,(2-0.5)*dx,"")</f>
        <v>7.1428571428571425E-2</v>
      </c>
      <c r="F146" s="4">
        <f>IF(3&lt;=N,(3-0.5)*dx,"")</f>
        <v>0.11904761904761904</v>
      </c>
      <c r="G146" s="4">
        <f>IF(4&lt;=N,(4-0.5)*dx,"")</f>
        <v>0.16666666666666666</v>
      </c>
      <c r="H146" s="4">
        <f>IF(5&lt;=N,(5-0.5)*dx,"")</f>
        <v>0.21428571428571427</v>
      </c>
      <c r="I146" s="4">
        <f>IF(6&lt;=N,(6-0.5)*dx,"")</f>
        <v>0.26190476190476186</v>
      </c>
      <c r="J146" s="4">
        <f>IF(7&lt;=N,(7-0.5)*dx,"")</f>
        <v>0.30952380952380953</v>
      </c>
      <c r="K146" s="4">
        <f>IF(8&lt;=N,(8-0.5)*dx,"")</f>
        <v>0.3571428571428571</v>
      </c>
      <c r="L146" s="4">
        <f>IF(9&lt;=N,(9-0.5)*dx,"")</f>
        <v>0.40476190476190477</v>
      </c>
      <c r="M146" s="4">
        <f>IF(10&lt;=N,(10-0.5)*dx,"")</f>
        <v>0.45238095238095233</v>
      </c>
      <c r="N146" s="4">
        <f>IF(11&lt;=N,(11-0.5)*dx,"")</f>
        <v>0.5</v>
      </c>
      <c r="O146" s="4">
        <f>IF(12&lt;=N,(12-0.5)*dx,"")</f>
        <v>0.54761904761904756</v>
      </c>
      <c r="P146" s="4">
        <f>IF(13&lt;=N,(13-0.5)*dx,"")</f>
        <v>0.59523809523809523</v>
      </c>
      <c r="Q146" s="4">
        <f>IF(14&lt;=N,(14-0.5)*dx,"")</f>
        <v>0.64285714285714279</v>
      </c>
      <c r="R146" s="4">
        <f>IF(15&lt;=N,(15-0.5)*dx,"")</f>
        <v>0.69047619047619047</v>
      </c>
      <c r="S146" s="4">
        <f>IF(16&lt;=N,(16-0.5)*dx,"")</f>
        <v>0.73809523809523803</v>
      </c>
      <c r="T146" s="4">
        <f>IF(17&lt;=N,(17-0.5)*dx,"")</f>
        <v>0.7857142857142857</v>
      </c>
      <c r="U146" s="4">
        <f>IF(18&lt;=N,(18-0.5)*dx,"")</f>
        <v>0.83333333333333326</v>
      </c>
      <c r="V146" s="4">
        <f>IF(19&lt;=N,(19-0.5)*dx,"")</f>
        <v>0.88095238095238093</v>
      </c>
      <c r="W146" s="4">
        <f>IF(20&lt;=N,(20-0.5)*dx,"")</f>
        <v>0.92857142857142849</v>
      </c>
      <c r="X146" s="4">
        <f>IF(21&lt;=N,(21-0.5)*dx,"")</f>
        <v>0.97619047619047616</v>
      </c>
    </row>
    <row r="147" spans="1:24" x14ac:dyDescent="0.25">
      <c r="A147" s="2" t="s">
        <v>50</v>
      </c>
      <c r="B147" s="2" t="s">
        <v>51</v>
      </c>
    </row>
    <row r="148" spans="1:24" x14ac:dyDescent="0.25">
      <c r="A148" s="2">
        <v>1</v>
      </c>
      <c r="B148" s="4">
        <f>IF(1&lt;=N,(1-0.5)*dx,"")</f>
        <v>2.3809523809523808E-2</v>
      </c>
      <c r="D148" s="7" t="str">
        <f t="shared" ref="D148:X148" si="37">IF(COUNT(C92,E92,D119,D121)&lt;4,"",(E92-C92)/(2*dx)+(D121-D119)/(2*dx))</f>
        <v/>
      </c>
      <c r="E148" s="7" t="str">
        <f t="shared" si="37"/>
        <v/>
      </c>
      <c r="F148" s="7" t="str">
        <f t="shared" si="37"/>
        <v/>
      </c>
      <c r="G148" s="7" t="str">
        <f t="shared" si="37"/>
        <v/>
      </c>
      <c r="H148" s="7" t="str">
        <f t="shared" si="37"/>
        <v/>
      </c>
      <c r="I148" s="7" t="str">
        <f t="shared" si="37"/>
        <v/>
      </c>
      <c r="J148" s="7" t="str">
        <f t="shared" si="37"/>
        <v/>
      </c>
      <c r="K148" s="7" t="str">
        <f t="shared" si="37"/>
        <v/>
      </c>
      <c r="L148" s="7" t="str">
        <f t="shared" si="37"/>
        <v/>
      </c>
      <c r="M148" s="7" t="str">
        <f t="shared" si="37"/>
        <v/>
      </c>
      <c r="N148" s="7" t="str">
        <f t="shared" si="37"/>
        <v/>
      </c>
      <c r="O148" s="7" t="str">
        <f t="shared" si="37"/>
        <v/>
      </c>
      <c r="P148" s="7" t="str">
        <f t="shared" si="37"/>
        <v/>
      </c>
      <c r="Q148" s="7" t="str">
        <f t="shared" si="37"/>
        <v/>
      </c>
      <c r="R148" s="7" t="str">
        <f t="shared" si="37"/>
        <v/>
      </c>
      <c r="S148" s="7" t="str">
        <f t="shared" si="37"/>
        <v/>
      </c>
      <c r="T148" s="7" t="str">
        <f t="shared" si="37"/>
        <v/>
      </c>
      <c r="U148" s="7" t="str">
        <f t="shared" si="37"/>
        <v/>
      </c>
      <c r="V148" s="7" t="str">
        <f t="shared" si="37"/>
        <v/>
      </c>
      <c r="W148" s="7" t="str">
        <f t="shared" si="37"/>
        <v/>
      </c>
      <c r="X148" s="7" t="str">
        <f t="shared" si="37"/>
        <v/>
      </c>
    </row>
    <row r="149" spans="1:24" x14ac:dyDescent="0.25">
      <c r="A149" s="2">
        <v>2</v>
      </c>
      <c r="B149" s="4">
        <f>IF(2&lt;=N,(2-0.5)*dx,"")</f>
        <v>7.1428571428571425E-2</v>
      </c>
      <c r="D149" s="7" t="str">
        <f t="shared" ref="D149:X149" si="38">IF(COUNT(C93,E93,D120,D122)&lt;4,"",(E93-C93)/(2*dx)+(D122-D120)/(2*dx))</f>
        <v/>
      </c>
      <c r="E149" s="4">
        <f t="shared" si="38"/>
        <v>0.67900366521826561</v>
      </c>
      <c r="F149" s="4">
        <f t="shared" si="38"/>
        <v>0.64832145975835087</v>
      </c>
      <c r="G149" s="4">
        <f t="shared" si="38"/>
        <v>0.60315682420639749</v>
      </c>
      <c r="H149" s="4">
        <f t="shared" si="38"/>
        <v>0.54451866188832232</v>
      </c>
      <c r="I149" s="4">
        <f t="shared" si="38"/>
        <v>0.47371685245366518</v>
      </c>
      <c r="J149" s="4">
        <f t="shared" si="38"/>
        <v>0.39233299132872756</v>
      </c>
      <c r="K149" s="4">
        <f t="shared" si="38"/>
        <v>0.30218505948825813</v>
      </c>
      <c r="L149" s="4">
        <f t="shared" si="38"/>
        <v>0.2052868127646007</v>
      </c>
      <c r="M149" s="4">
        <f t="shared" si="38"/>
        <v>0.10380279787002868</v>
      </c>
      <c r="N149" s="4">
        <f t="shared" si="38"/>
        <v>0</v>
      </c>
      <c r="O149" s="4">
        <f t="shared" si="38"/>
        <v>-0.10380279787002868</v>
      </c>
      <c r="P149" s="4">
        <f t="shared" si="38"/>
        <v>-0.2052868127646007</v>
      </c>
      <c r="Q149" s="4">
        <f t="shared" si="38"/>
        <v>-0.30218505948825841</v>
      </c>
      <c r="R149" s="4">
        <f t="shared" si="38"/>
        <v>-0.39233299132872701</v>
      </c>
      <c r="S149" s="4">
        <f t="shared" si="38"/>
        <v>-0.47371685245366463</v>
      </c>
      <c r="T149" s="4">
        <f t="shared" si="38"/>
        <v>-0.54451866188832199</v>
      </c>
      <c r="U149" s="4">
        <f t="shared" si="38"/>
        <v>-0.60315682420639716</v>
      </c>
      <c r="V149" s="4">
        <f t="shared" si="38"/>
        <v>-0.64832145975835054</v>
      </c>
      <c r="W149" s="4">
        <f t="shared" si="38"/>
        <v>-0.67900366521826538</v>
      </c>
      <c r="X149" s="7" t="str">
        <f t="shared" si="38"/>
        <v/>
      </c>
    </row>
    <row r="150" spans="1:24" x14ac:dyDescent="0.25">
      <c r="A150" s="2">
        <v>3</v>
      </c>
      <c r="B150" s="4">
        <f>IF(3&lt;=N,(3-0.5)*dx,"")</f>
        <v>0.11904761904761904</v>
      </c>
      <c r="D150" s="7" t="str">
        <f t="shared" ref="D150:X150" si="39">IF(COUNT(C94,E94,D121,D123)&lt;4,"",(E94-C94)/(2*dx)+(D123-D121)/(2*dx))</f>
        <v/>
      </c>
      <c r="E150" s="4">
        <f t="shared" si="39"/>
        <v>1.1148069990038731</v>
      </c>
      <c r="F150" s="4">
        <f t="shared" si="39"/>
        <v>1.0644321054006218</v>
      </c>
      <c r="G150" s="4">
        <f t="shared" si="39"/>
        <v>0.99027955748382723</v>
      </c>
      <c r="H150" s="4">
        <f t="shared" si="39"/>
        <v>0.89400580064055268</v>
      </c>
      <c r="I150" s="4">
        <f t="shared" si="39"/>
        <v>0.7777614315110839</v>
      </c>
      <c r="J150" s="4">
        <f t="shared" si="39"/>
        <v>0.6441431572137345</v>
      </c>
      <c r="K150" s="4">
        <f t="shared" si="39"/>
        <v>0.49613578919875567</v>
      </c>
      <c r="L150" s="4">
        <f t="shared" si="39"/>
        <v>0.33704556749278985</v>
      </c>
      <c r="M150" s="4">
        <f t="shared" si="39"/>
        <v>0.17042630476006929</v>
      </c>
      <c r="N150" s="4">
        <f t="shared" si="39"/>
        <v>0</v>
      </c>
      <c r="O150" s="4">
        <f t="shared" si="39"/>
        <v>-0.17042630476006929</v>
      </c>
      <c r="P150" s="4">
        <f t="shared" si="39"/>
        <v>-0.33704556749278985</v>
      </c>
      <c r="Q150" s="4">
        <f t="shared" si="39"/>
        <v>-0.49613578919875623</v>
      </c>
      <c r="R150" s="4">
        <f t="shared" si="39"/>
        <v>-0.64414315721373394</v>
      </c>
      <c r="S150" s="4">
        <f t="shared" si="39"/>
        <v>-0.77776143151108301</v>
      </c>
      <c r="T150" s="4">
        <f t="shared" si="39"/>
        <v>-0.8940058006405518</v>
      </c>
      <c r="U150" s="4">
        <f t="shared" si="39"/>
        <v>-0.99027955748382634</v>
      </c>
      <c r="V150" s="4">
        <f t="shared" si="39"/>
        <v>-1.0644321054006212</v>
      </c>
      <c r="W150" s="4">
        <f t="shared" si="39"/>
        <v>-1.1148069990038725</v>
      </c>
      <c r="X150" s="7" t="str">
        <f t="shared" si="39"/>
        <v/>
      </c>
    </row>
    <row r="151" spans="1:24" x14ac:dyDescent="0.25">
      <c r="A151" s="2">
        <v>4</v>
      </c>
      <c r="B151" s="4">
        <f>IF(4&lt;=N,(4-0.5)*dx,"")</f>
        <v>0.16666666666666666</v>
      </c>
      <c r="D151" s="7" t="str">
        <f t="shared" ref="D151:X151" si="40">IF(COUNT(C95,E95,D122,D124)&lt;4,"",(E95-C95)/(2*dx)+(D124-D122)/(2*dx))</f>
        <v/>
      </c>
      <c r="E151" s="4">
        <f t="shared" si="40"/>
        <v>1.5257073865948463</v>
      </c>
      <c r="F151" s="4">
        <f t="shared" si="40"/>
        <v>1.4567650967293493</v>
      </c>
      <c r="G151" s="4">
        <f t="shared" si="40"/>
        <v>1.3552810818347769</v>
      </c>
      <c r="H151" s="4">
        <f t="shared" si="40"/>
        <v>1.2235223271065878</v>
      </c>
      <c r="I151" s="4">
        <f t="shared" si="40"/>
        <v>1.0644321054006225</v>
      </c>
      <c r="J151" s="4">
        <f t="shared" si="40"/>
        <v>0.88156422938111223</v>
      </c>
      <c r="K151" s="4">
        <f t="shared" si="40"/>
        <v>0.67900366521826538</v>
      </c>
      <c r="L151" s="4">
        <f t="shared" si="40"/>
        <v>0.46127528119422484</v>
      </c>
      <c r="M151" s="4">
        <f t="shared" si="40"/>
        <v>0.23324276962276144</v>
      </c>
      <c r="N151" s="4">
        <f t="shared" si="40"/>
        <v>0</v>
      </c>
      <c r="O151" s="4">
        <f t="shared" si="40"/>
        <v>-0.23324276962276144</v>
      </c>
      <c r="P151" s="4">
        <f t="shared" si="40"/>
        <v>-0.46127528119422423</v>
      </c>
      <c r="Q151" s="4">
        <f t="shared" si="40"/>
        <v>-0.67900366521826594</v>
      </c>
      <c r="R151" s="4">
        <f t="shared" si="40"/>
        <v>-0.88156422938111167</v>
      </c>
      <c r="S151" s="4">
        <f t="shared" si="40"/>
        <v>-1.0644321054006214</v>
      </c>
      <c r="T151" s="4">
        <f t="shared" si="40"/>
        <v>-1.2235223271065871</v>
      </c>
      <c r="U151" s="4">
        <f t="shared" si="40"/>
        <v>-1.355281081834776</v>
      </c>
      <c r="V151" s="4">
        <f t="shared" si="40"/>
        <v>-1.456765096729348</v>
      </c>
      <c r="W151" s="4">
        <f t="shared" si="40"/>
        <v>-1.5257073865948456</v>
      </c>
      <c r="X151" s="7" t="str">
        <f t="shared" si="40"/>
        <v/>
      </c>
    </row>
    <row r="152" spans="1:24" x14ac:dyDescent="0.25">
      <c r="A152" s="2">
        <v>5</v>
      </c>
      <c r="B152" s="4">
        <f>IF(5&lt;=N,(5-0.5)*dx,"")</f>
        <v>0.21428571428571427</v>
      </c>
      <c r="D152" s="7" t="str">
        <f t="shared" ref="D152:X152" si="41">IF(COUNT(C96,E96,D123,D125)&lt;4,"",(E96-C96)/(2*dx)+(D125-D123)/(2*dx))</f>
        <v/>
      </c>
      <c r="E152" s="4">
        <f t="shared" si="41"/>
        <v>1.9025259923248541</v>
      </c>
      <c r="F152" s="4">
        <f t="shared" si="41"/>
        <v>1.8165563630290011</v>
      </c>
      <c r="G152" s="4">
        <f t="shared" si="41"/>
        <v>1.6900078663521101</v>
      </c>
      <c r="H152" s="4">
        <f t="shared" si="41"/>
        <v>1.5257073865948463</v>
      </c>
      <c r="I152" s="4">
        <f t="shared" si="41"/>
        <v>1.3273251249766174</v>
      </c>
      <c r="J152" s="4">
        <f t="shared" si="41"/>
        <v>1.0992926134051539</v>
      </c>
      <c r="K152" s="4">
        <f t="shared" si="41"/>
        <v>0.84670372137658023</v>
      </c>
      <c r="L152" s="4">
        <f t="shared" si="41"/>
        <v>0.5752008673482375</v>
      </c>
      <c r="M152" s="4">
        <f t="shared" si="41"/>
        <v>0.29084897643415553</v>
      </c>
      <c r="N152" s="4">
        <f t="shared" si="41"/>
        <v>0</v>
      </c>
      <c r="O152" s="4">
        <f t="shared" si="41"/>
        <v>-0.29084897643415553</v>
      </c>
      <c r="P152" s="4">
        <f t="shared" si="41"/>
        <v>-0.5752008673482375</v>
      </c>
      <c r="Q152" s="4">
        <f t="shared" si="41"/>
        <v>-0.84670372137658023</v>
      </c>
      <c r="R152" s="4">
        <f t="shared" si="41"/>
        <v>-1.0992926134051522</v>
      </c>
      <c r="S152" s="4">
        <f t="shared" si="41"/>
        <v>-1.3273251249766163</v>
      </c>
      <c r="T152" s="4">
        <f t="shared" si="41"/>
        <v>-1.5257073865948449</v>
      </c>
      <c r="U152" s="4">
        <f t="shared" si="41"/>
        <v>-1.6900078663521094</v>
      </c>
      <c r="V152" s="4">
        <f t="shared" si="41"/>
        <v>-1.8165563630290003</v>
      </c>
      <c r="W152" s="4">
        <f t="shared" si="41"/>
        <v>-1.9025259923248528</v>
      </c>
      <c r="X152" s="7" t="str">
        <f t="shared" si="41"/>
        <v/>
      </c>
    </row>
    <row r="153" spans="1:24" x14ac:dyDescent="0.25">
      <c r="A153" s="2">
        <v>6</v>
      </c>
      <c r="B153" s="4">
        <f>IF(6&lt;=N,(6-0.5)*dx,"")</f>
        <v>0.26190476190476186</v>
      </c>
      <c r="D153" s="7" t="str">
        <f t="shared" ref="D153:X153" si="42">IF(COUNT(C97,E97,D124,D126)&lt;4,"",(E97-C97)/(2*dx)+(D126-D124)/(2*dx))</f>
        <v/>
      </c>
      <c r="E153" s="4">
        <f t="shared" si="42"/>
        <v>2.2368453112158893</v>
      </c>
      <c r="F153" s="4">
        <f t="shared" si="42"/>
        <v>2.1357687619476144</v>
      </c>
      <c r="G153" s="4">
        <f t="shared" si="42"/>
        <v>1.9869826677890705</v>
      </c>
      <c r="H153" s="4">
        <f t="shared" si="42"/>
        <v>1.7938106642221385</v>
      </c>
      <c r="I153" s="4">
        <f t="shared" si="42"/>
        <v>1.5605678945993782</v>
      </c>
      <c r="J153" s="4">
        <f t="shared" si="42"/>
        <v>1.2924646169720853</v>
      </c>
      <c r="K153" s="4">
        <f t="shared" si="42"/>
        <v>0.99548981553512439</v>
      </c>
      <c r="L153" s="4">
        <f t="shared" si="42"/>
        <v>0.67627741661651275</v>
      </c>
      <c r="M153" s="4">
        <f t="shared" si="42"/>
        <v>0.34195809772547664</v>
      </c>
      <c r="N153" s="4">
        <f t="shared" si="42"/>
        <v>0</v>
      </c>
      <c r="O153" s="4">
        <f t="shared" si="42"/>
        <v>-0.34195809772547664</v>
      </c>
      <c r="P153" s="4">
        <f t="shared" si="42"/>
        <v>-0.67627741661651153</v>
      </c>
      <c r="Q153" s="4">
        <f t="shared" si="42"/>
        <v>-0.99548981553512439</v>
      </c>
      <c r="R153" s="4">
        <f t="shared" si="42"/>
        <v>-1.2924646169720841</v>
      </c>
      <c r="S153" s="4">
        <f t="shared" si="42"/>
        <v>-1.5605678945993771</v>
      </c>
      <c r="T153" s="4">
        <f t="shared" si="42"/>
        <v>-1.7938106642221379</v>
      </c>
      <c r="U153" s="4">
        <f t="shared" si="42"/>
        <v>-1.9869826677890692</v>
      </c>
      <c r="V153" s="4">
        <f t="shared" si="42"/>
        <v>-2.1357687619476131</v>
      </c>
      <c r="W153" s="4">
        <f t="shared" si="42"/>
        <v>-2.2368453112158879</v>
      </c>
      <c r="X153" s="7" t="str">
        <f t="shared" si="42"/>
        <v/>
      </c>
    </row>
    <row r="154" spans="1:24" x14ac:dyDescent="0.25">
      <c r="A154" s="2">
        <v>7</v>
      </c>
      <c r="B154" s="4">
        <f>IF(7&lt;=N,(7-0.5)*dx,"")</f>
        <v>0.30952380952380953</v>
      </c>
      <c r="D154" s="7" t="str">
        <f t="shared" ref="D154:X154" si="43">IF(COUNT(C98,E98,D125,D127)&lt;4,"",(E98-C98)/(2*dx)+(D127-D125)/(2*dx))</f>
        <v/>
      </c>
      <c r="E154" s="4">
        <f t="shared" si="43"/>
        <v>2.5211972021299718</v>
      </c>
      <c r="F154" s="4">
        <f t="shared" si="43"/>
        <v>2.4072716159759584</v>
      </c>
      <c r="G154" s="4">
        <f t="shared" si="43"/>
        <v>2.2395715598176436</v>
      </c>
      <c r="H154" s="4">
        <f t="shared" si="43"/>
        <v>2.021843175793602</v>
      </c>
      <c r="I154" s="4">
        <f t="shared" si="43"/>
        <v>1.7589501562176082</v>
      </c>
      <c r="J154" s="4">
        <f t="shared" si="43"/>
        <v>1.4567650967293497</v>
      </c>
      <c r="K154" s="4">
        <f t="shared" si="43"/>
        <v>1.1220383122120154</v>
      </c>
      <c r="L154" s="4">
        <f t="shared" si="43"/>
        <v>0.7622470459123647</v>
      </c>
      <c r="M154" s="4">
        <f t="shared" si="43"/>
        <v>0.38542844018235717</v>
      </c>
      <c r="N154" s="4">
        <f t="shared" si="43"/>
        <v>0</v>
      </c>
      <c r="O154" s="4">
        <f t="shared" si="43"/>
        <v>-0.38542844018235717</v>
      </c>
      <c r="P154" s="4">
        <f t="shared" si="43"/>
        <v>-0.76224704591236347</v>
      </c>
      <c r="Q154" s="4">
        <f t="shared" si="43"/>
        <v>-1.1220383122120154</v>
      </c>
      <c r="R154" s="4">
        <f t="shared" si="43"/>
        <v>-1.4567650967293486</v>
      </c>
      <c r="S154" s="4">
        <f t="shared" si="43"/>
        <v>-1.7589501562176071</v>
      </c>
      <c r="T154" s="4">
        <f t="shared" si="43"/>
        <v>-2.0218431757936006</v>
      </c>
      <c r="U154" s="4">
        <f t="shared" si="43"/>
        <v>-2.2395715598176422</v>
      </c>
      <c r="V154" s="4">
        <f t="shared" si="43"/>
        <v>-2.4072716159759571</v>
      </c>
      <c r="W154" s="4">
        <f t="shared" si="43"/>
        <v>-2.5211972021299704</v>
      </c>
      <c r="X154" s="7" t="str">
        <f t="shared" si="43"/>
        <v/>
      </c>
    </row>
    <row r="155" spans="1:24" x14ac:dyDescent="0.25">
      <c r="A155" s="2">
        <v>8</v>
      </c>
      <c r="B155" s="4">
        <f>IF(8&lt;=N,(8-0.5)*dx,"")</f>
        <v>0.3571428571428571</v>
      </c>
      <c r="D155" s="7" t="str">
        <f t="shared" ref="D155:X155" si="44">IF(COUNT(C99,E99,D126,D128)&lt;4,"",(E99-C99)/(2*dx)+(D128-D126)/(2*dx))</f>
        <v/>
      </c>
      <c r="E155" s="4">
        <f t="shared" si="44"/>
        <v>2.7492297137014345</v>
      </c>
      <c r="F155" s="4">
        <f t="shared" si="44"/>
        <v>2.6249999999999991</v>
      </c>
      <c r="G155" s="4">
        <f t="shared" si="44"/>
        <v>2.4421321239804898</v>
      </c>
      <c r="H155" s="4">
        <f t="shared" si="44"/>
        <v>2.2047110518131117</v>
      </c>
      <c r="I155" s="4">
        <f t="shared" si="44"/>
        <v>1.918040377923574</v>
      </c>
      <c r="J155" s="4">
        <f t="shared" si="44"/>
        <v>1.5885238514575384</v>
      </c>
      <c r="K155" s="4">
        <f t="shared" si="44"/>
        <v>1.2235223271065878</v>
      </c>
      <c r="L155" s="4">
        <f t="shared" si="44"/>
        <v>0.83118933577786225</v>
      </c>
      <c r="M155" s="4">
        <f t="shared" si="44"/>
        <v>0.420288948186888</v>
      </c>
      <c r="N155" s="4">
        <f t="shared" si="44"/>
        <v>0</v>
      </c>
      <c r="O155" s="4">
        <f t="shared" si="44"/>
        <v>-0.420288948186888</v>
      </c>
      <c r="P155" s="4">
        <f t="shared" si="44"/>
        <v>-0.83118933577786103</v>
      </c>
      <c r="Q155" s="4">
        <f t="shared" si="44"/>
        <v>-1.2235223271065889</v>
      </c>
      <c r="R155" s="4">
        <f t="shared" si="44"/>
        <v>-1.5885238514575373</v>
      </c>
      <c r="S155" s="4">
        <f t="shared" si="44"/>
        <v>-1.9180403779235717</v>
      </c>
      <c r="T155" s="4">
        <f t="shared" si="44"/>
        <v>-2.2047110518131103</v>
      </c>
      <c r="U155" s="4">
        <f t="shared" si="44"/>
        <v>-2.4421321239804885</v>
      </c>
      <c r="V155" s="4">
        <f t="shared" si="44"/>
        <v>-2.6249999999999973</v>
      </c>
      <c r="W155" s="4">
        <f t="shared" si="44"/>
        <v>-2.7492297137014328</v>
      </c>
      <c r="X155" s="7" t="str">
        <f t="shared" si="44"/>
        <v/>
      </c>
    </row>
    <row r="156" spans="1:24" x14ac:dyDescent="0.25">
      <c r="A156" s="2">
        <v>9</v>
      </c>
      <c r="B156" s="4">
        <f>IF(9&lt;=N,(9-0.5)*dx,"")</f>
        <v>0.40476190476190477</v>
      </c>
      <c r="D156" s="7" t="str">
        <f t="shared" ref="D156:X156" si="45">IF(COUNT(C100,E100,D127,D129)&lt;4,"",(E100-C100)/(2*dx)+(D129-D127)/(2*dx))</f>
        <v/>
      </c>
      <c r="E156" s="4">
        <f t="shared" si="45"/>
        <v>2.9158489764341553</v>
      </c>
      <c r="F156" s="4">
        <f t="shared" si="45"/>
        <v>2.784090221705966</v>
      </c>
      <c r="G156" s="4">
        <f t="shared" si="45"/>
        <v>2.5901394919954681</v>
      </c>
      <c r="H156" s="4">
        <f t="shared" si="45"/>
        <v>2.3383293261104607</v>
      </c>
      <c r="I156" s="4">
        <f t="shared" si="45"/>
        <v>2.0342847470530434</v>
      </c>
      <c r="J156" s="4">
        <f t="shared" si="45"/>
        <v>1.6847976083008132</v>
      </c>
      <c r="K156" s="4">
        <f t="shared" si="45"/>
        <v>1.2976748750233829</v>
      </c>
      <c r="L156" s="4">
        <f t="shared" si="45"/>
        <v>0.88156422938111223</v>
      </c>
      <c r="M156" s="4">
        <f t="shared" si="45"/>
        <v>0.44576089559550502</v>
      </c>
      <c r="N156" s="4">
        <f t="shared" si="45"/>
        <v>0</v>
      </c>
      <c r="O156" s="4">
        <f t="shared" si="45"/>
        <v>-0.44576089559550502</v>
      </c>
      <c r="P156" s="4">
        <f t="shared" si="45"/>
        <v>-0.88156422938111112</v>
      </c>
      <c r="Q156" s="4">
        <f t="shared" si="45"/>
        <v>-1.297674875023384</v>
      </c>
      <c r="R156" s="4">
        <f t="shared" si="45"/>
        <v>-1.684797608300812</v>
      </c>
      <c r="S156" s="4">
        <f t="shared" si="45"/>
        <v>-2.0342847470530412</v>
      </c>
      <c r="T156" s="4">
        <f t="shared" si="45"/>
        <v>-2.338329326110459</v>
      </c>
      <c r="U156" s="4">
        <f t="shared" si="45"/>
        <v>-2.5901394919954668</v>
      </c>
      <c r="V156" s="4">
        <f t="shared" si="45"/>
        <v>-2.7840902217059642</v>
      </c>
      <c r="W156" s="4">
        <f t="shared" si="45"/>
        <v>-2.9158489764341535</v>
      </c>
      <c r="X156" s="7" t="str">
        <f t="shared" si="45"/>
        <v/>
      </c>
    </row>
    <row r="157" spans="1:24" x14ac:dyDescent="0.25">
      <c r="A157" s="2">
        <v>10</v>
      </c>
      <c r="B157" s="4">
        <f>IF(10&lt;=N,(10-0.5)*dx,"")</f>
        <v>0.45238095238095233</v>
      </c>
      <c r="D157" s="7" t="str">
        <f t="shared" ref="D157:X157" si="46">IF(COUNT(C101,E101,D128,D130)&lt;4,"",(E101-C101)/(2*dx)+(D130-D128)/(2*dx))</f>
        <v/>
      </c>
      <c r="E157" s="4">
        <f t="shared" si="46"/>
        <v>3.0173329913287272</v>
      </c>
      <c r="F157" s="4">
        <f t="shared" si="46"/>
        <v>2.8809884684296239</v>
      </c>
      <c r="G157" s="4">
        <f t="shared" si="46"/>
        <v>2.6802874238359378</v>
      </c>
      <c r="H157" s="4">
        <f t="shared" si="46"/>
        <v>2.4197131872353994</v>
      </c>
      <c r="I157" s="4">
        <f t="shared" si="46"/>
        <v>2.1050865564877013</v>
      </c>
      <c r="J157" s="4">
        <f t="shared" si="46"/>
        <v>1.7434357706188879</v>
      </c>
      <c r="K157" s="4">
        <f t="shared" si="46"/>
        <v>1.3428395105753355</v>
      </c>
      <c r="L157" s="4">
        <f t="shared" si="46"/>
        <v>0.91224643484102674</v>
      </c>
      <c r="M157" s="4">
        <f t="shared" si="46"/>
        <v>0.46127528119422539</v>
      </c>
      <c r="N157" s="4">
        <f t="shared" si="46"/>
        <v>0</v>
      </c>
      <c r="O157" s="4">
        <f t="shared" si="46"/>
        <v>-0.46127528119422539</v>
      </c>
      <c r="P157" s="4">
        <f t="shared" si="46"/>
        <v>-0.91224643484102563</v>
      </c>
      <c r="Q157" s="4">
        <f t="shared" si="46"/>
        <v>-1.3428395105753366</v>
      </c>
      <c r="R157" s="4">
        <f t="shared" si="46"/>
        <v>-1.7434357706188868</v>
      </c>
      <c r="S157" s="4">
        <f t="shared" si="46"/>
        <v>-2.105086556487699</v>
      </c>
      <c r="T157" s="4">
        <f t="shared" si="46"/>
        <v>-2.4197131872353976</v>
      </c>
      <c r="U157" s="4">
        <f t="shared" si="46"/>
        <v>-2.680287423835936</v>
      </c>
      <c r="V157" s="4">
        <f t="shared" si="46"/>
        <v>-2.8809884684296212</v>
      </c>
      <c r="W157" s="4">
        <f t="shared" si="46"/>
        <v>-3.0173329913287259</v>
      </c>
      <c r="X157" s="7" t="str">
        <f t="shared" si="46"/>
        <v/>
      </c>
    </row>
    <row r="158" spans="1:24" x14ac:dyDescent="0.25">
      <c r="A158" s="2">
        <v>11</v>
      </c>
      <c r="B158" s="4">
        <f>IF(11&lt;=N,(11-0.5)*dx,"")</f>
        <v>0.5</v>
      </c>
      <c r="D158" s="7" t="str">
        <f t="shared" ref="D158:X158" si="47">IF(COUNT(C102,E102,D129,D131)&lt;4,"",(E102-C102)/(2*dx)+(D131-D129)/(2*dx))</f>
        <v/>
      </c>
      <c r="E158" s="4">
        <f t="shared" si="47"/>
        <v>3.051414773189693</v>
      </c>
      <c r="F158" s="4">
        <f t="shared" si="47"/>
        <v>2.9135301934586986</v>
      </c>
      <c r="G158" s="4">
        <f t="shared" si="47"/>
        <v>2.7105621636695543</v>
      </c>
      <c r="H158" s="4">
        <f t="shared" si="47"/>
        <v>2.4470446542131761</v>
      </c>
      <c r="I158" s="4">
        <f t="shared" si="47"/>
        <v>2.128864210801245</v>
      </c>
      <c r="J158" s="4">
        <f t="shared" si="47"/>
        <v>1.7631284587622245</v>
      </c>
      <c r="K158" s="4">
        <f t="shared" si="47"/>
        <v>1.3580073304365308</v>
      </c>
      <c r="L158" s="4">
        <f t="shared" si="47"/>
        <v>0.92255056238844968</v>
      </c>
      <c r="M158" s="4">
        <f t="shared" si="47"/>
        <v>0.46648553924552288</v>
      </c>
      <c r="N158" s="4">
        <f t="shared" si="47"/>
        <v>0</v>
      </c>
      <c r="O158" s="4">
        <f t="shared" si="47"/>
        <v>-0.46648553924552288</v>
      </c>
      <c r="P158" s="4">
        <f t="shared" si="47"/>
        <v>-0.92255056238844846</v>
      </c>
      <c r="Q158" s="4">
        <f t="shared" si="47"/>
        <v>-1.3580073304365319</v>
      </c>
      <c r="R158" s="4">
        <f t="shared" si="47"/>
        <v>-1.7631284587622233</v>
      </c>
      <c r="S158" s="4">
        <f t="shared" si="47"/>
        <v>-2.1288642108012428</v>
      </c>
      <c r="T158" s="4">
        <f t="shared" si="47"/>
        <v>-2.4470446542131743</v>
      </c>
      <c r="U158" s="4">
        <f t="shared" si="47"/>
        <v>-2.7105621636695525</v>
      </c>
      <c r="V158" s="4">
        <f t="shared" si="47"/>
        <v>-2.9135301934586968</v>
      </c>
      <c r="W158" s="4">
        <f t="shared" si="47"/>
        <v>-3.0514147731896912</v>
      </c>
      <c r="X158" s="7" t="str">
        <f t="shared" si="47"/>
        <v/>
      </c>
    </row>
    <row r="159" spans="1:24" x14ac:dyDescent="0.25">
      <c r="A159" s="2">
        <v>12</v>
      </c>
      <c r="B159" s="4">
        <f>IF(12&lt;=N,(12-0.5)*dx,"")</f>
        <v>0.54761904761904756</v>
      </c>
      <c r="D159" s="7" t="str">
        <f t="shared" ref="D159:X159" si="48">IF(COUNT(C103,E103,D130,D132)&lt;4,"",(E103-C103)/(2*dx)+(D132-D130)/(2*dx))</f>
        <v/>
      </c>
      <c r="E159" s="4">
        <f t="shared" si="48"/>
        <v>3.0173329913287272</v>
      </c>
      <c r="F159" s="4">
        <f t="shared" si="48"/>
        <v>2.8809884684296239</v>
      </c>
      <c r="G159" s="4">
        <f t="shared" si="48"/>
        <v>2.6802874238359378</v>
      </c>
      <c r="H159" s="4">
        <f t="shared" si="48"/>
        <v>2.4197131872353994</v>
      </c>
      <c r="I159" s="4">
        <f t="shared" si="48"/>
        <v>2.1050865564877013</v>
      </c>
      <c r="J159" s="4">
        <f t="shared" si="48"/>
        <v>1.7434357706188879</v>
      </c>
      <c r="K159" s="4">
        <f t="shared" si="48"/>
        <v>1.3428395105753355</v>
      </c>
      <c r="L159" s="4">
        <f t="shared" si="48"/>
        <v>0.91224643484102674</v>
      </c>
      <c r="M159" s="4">
        <f t="shared" si="48"/>
        <v>0.46127528119422539</v>
      </c>
      <c r="N159" s="4">
        <f t="shared" si="48"/>
        <v>0</v>
      </c>
      <c r="O159" s="4">
        <f t="shared" si="48"/>
        <v>-0.46127528119422539</v>
      </c>
      <c r="P159" s="4">
        <f t="shared" si="48"/>
        <v>-0.91224643484102563</v>
      </c>
      <c r="Q159" s="4">
        <f t="shared" si="48"/>
        <v>-1.3428395105753366</v>
      </c>
      <c r="R159" s="4">
        <f t="shared" si="48"/>
        <v>-1.7434357706188868</v>
      </c>
      <c r="S159" s="4">
        <f t="shared" si="48"/>
        <v>-2.105086556487699</v>
      </c>
      <c r="T159" s="4">
        <f t="shared" si="48"/>
        <v>-2.4197131872353976</v>
      </c>
      <c r="U159" s="4">
        <f t="shared" si="48"/>
        <v>-2.680287423835936</v>
      </c>
      <c r="V159" s="4">
        <f t="shared" si="48"/>
        <v>-2.8809884684296212</v>
      </c>
      <c r="W159" s="4">
        <f t="shared" si="48"/>
        <v>-3.0173329913287259</v>
      </c>
      <c r="X159" s="7" t="str">
        <f t="shared" si="48"/>
        <v/>
      </c>
    </row>
    <row r="160" spans="1:24" x14ac:dyDescent="0.25">
      <c r="A160" s="2">
        <v>13</v>
      </c>
      <c r="B160" s="4">
        <f>IF(13&lt;=N,(13-0.5)*dx,"")</f>
        <v>0.59523809523809523</v>
      </c>
      <c r="D160" s="7" t="str">
        <f t="shared" ref="D160:X160" si="49">IF(COUNT(C104,E104,D131,D133)&lt;4,"",(E104-C104)/(2*dx)+(D133-D131)/(2*dx))</f>
        <v/>
      </c>
      <c r="E160" s="4">
        <f t="shared" si="49"/>
        <v>2.9158489764341553</v>
      </c>
      <c r="F160" s="4">
        <f t="shared" si="49"/>
        <v>2.784090221705966</v>
      </c>
      <c r="G160" s="4">
        <f t="shared" si="49"/>
        <v>2.5901394919954681</v>
      </c>
      <c r="H160" s="4">
        <f t="shared" si="49"/>
        <v>2.3383293261104607</v>
      </c>
      <c r="I160" s="4">
        <f t="shared" si="49"/>
        <v>2.0342847470530434</v>
      </c>
      <c r="J160" s="4">
        <f t="shared" si="49"/>
        <v>1.6847976083008132</v>
      </c>
      <c r="K160" s="4">
        <f t="shared" si="49"/>
        <v>1.2976748750233829</v>
      </c>
      <c r="L160" s="4">
        <f t="shared" si="49"/>
        <v>0.88156422938111223</v>
      </c>
      <c r="M160" s="4">
        <f t="shared" si="49"/>
        <v>0.44576089559550502</v>
      </c>
      <c r="N160" s="4">
        <f t="shared" si="49"/>
        <v>0</v>
      </c>
      <c r="O160" s="4">
        <f t="shared" si="49"/>
        <v>-0.44576089559550502</v>
      </c>
      <c r="P160" s="4">
        <f t="shared" si="49"/>
        <v>-0.88156422938111112</v>
      </c>
      <c r="Q160" s="4">
        <f t="shared" si="49"/>
        <v>-1.297674875023384</v>
      </c>
      <c r="R160" s="4">
        <f t="shared" si="49"/>
        <v>-1.684797608300812</v>
      </c>
      <c r="S160" s="4">
        <f t="shared" si="49"/>
        <v>-2.0342847470530412</v>
      </c>
      <c r="T160" s="4">
        <f t="shared" si="49"/>
        <v>-2.338329326110459</v>
      </c>
      <c r="U160" s="4">
        <f t="shared" si="49"/>
        <v>-2.5901394919954668</v>
      </c>
      <c r="V160" s="4">
        <f t="shared" si="49"/>
        <v>-2.7840902217059642</v>
      </c>
      <c r="W160" s="4">
        <f t="shared" si="49"/>
        <v>-2.9158489764341535</v>
      </c>
      <c r="X160" s="7" t="str">
        <f t="shared" si="49"/>
        <v/>
      </c>
    </row>
    <row r="161" spans="1:24" x14ac:dyDescent="0.25">
      <c r="A161" s="2">
        <v>14</v>
      </c>
      <c r="B161" s="4">
        <f>IF(14&lt;=N,(14-0.5)*dx,"")</f>
        <v>0.64285714285714279</v>
      </c>
      <c r="D161" s="7" t="str">
        <f t="shared" ref="D161:X161" si="50">IF(COUNT(C105,E105,D132,D134)&lt;4,"",(E105-C105)/(2*dx)+(D134-D132)/(2*dx))</f>
        <v/>
      </c>
      <c r="E161" s="4">
        <f t="shared" si="50"/>
        <v>2.7492297137014345</v>
      </c>
      <c r="F161" s="4">
        <f t="shared" si="50"/>
        <v>2.625</v>
      </c>
      <c r="G161" s="4">
        <f t="shared" si="50"/>
        <v>2.4421321239804898</v>
      </c>
      <c r="H161" s="4">
        <f t="shared" si="50"/>
        <v>2.2047110518131121</v>
      </c>
      <c r="I161" s="4">
        <f t="shared" si="50"/>
        <v>1.9180403779235753</v>
      </c>
      <c r="J161" s="4">
        <f t="shared" si="50"/>
        <v>1.5885238514575384</v>
      </c>
      <c r="K161" s="4">
        <f t="shared" si="50"/>
        <v>1.2235223271065878</v>
      </c>
      <c r="L161" s="4">
        <f t="shared" si="50"/>
        <v>0.83118933577786225</v>
      </c>
      <c r="M161" s="4">
        <f t="shared" si="50"/>
        <v>0.420288948186888</v>
      </c>
      <c r="N161" s="4">
        <f t="shared" si="50"/>
        <v>0</v>
      </c>
      <c r="O161" s="4">
        <f t="shared" si="50"/>
        <v>-0.420288948186888</v>
      </c>
      <c r="P161" s="4">
        <f t="shared" si="50"/>
        <v>-0.83118933577786103</v>
      </c>
      <c r="Q161" s="4">
        <f t="shared" si="50"/>
        <v>-1.2235223271065889</v>
      </c>
      <c r="R161" s="4">
        <f t="shared" si="50"/>
        <v>-1.5885238514575373</v>
      </c>
      <c r="S161" s="4">
        <f t="shared" si="50"/>
        <v>-1.9180403779235728</v>
      </c>
      <c r="T161" s="4">
        <f t="shared" si="50"/>
        <v>-2.2047110518131108</v>
      </c>
      <c r="U161" s="4">
        <f t="shared" si="50"/>
        <v>-2.4421321239804881</v>
      </c>
      <c r="V161" s="4">
        <f t="shared" si="50"/>
        <v>-2.6249999999999982</v>
      </c>
      <c r="W161" s="4">
        <f t="shared" si="50"/>
        <v>-2.7492297137014332</v>
      </c>
      <c r="X161" s="7" t="str">
        <f t="shared" si="50"/>
        <v/>
      </c>
    </row>
    <row r="162" spans="1:24" x14ac:dyDescent="0.25">
      <c r="A162" s="2">
        <v>15</v>
      </c>
      <c r="B162" s="4">
        <f>IF(15&lt;=N,(15-0.5)*dx,"")</f>
        <v>0.69047619047619047</v>
      </c>
      <c r="D162" s="7" t="str">
        <f t="shared" ref="D162:X162" si="51">IF(COUNT(C106,E106,D133,D135)&lt;4,"",(E106-C106)/(2*dx)+(D135-D133)/(2*dx))</f>
        <v/>
      </c>
      <c r="E162" s="4">
        <f t="shared" si="51"/>
        <v>2.5211972021299713</v>
      </c>
      <c r="F162" s="4">
        <f t="shared" si="51"/>
        <v>2.4072716159759584</v>
      </c>
      <c r="G162" s="4">
        <f t="shared" si="51"/>
        <v>2.239571559817644</v>
      </c>
      <c r="H162" s="4">
        <f t="shared" si="51"/>
        <v>2.0218431757936024</v>
      </c>
      <c r="I162" s="4">
        <f t="shared" si="51"/>
        <v>1.7589501562176082</v>
      </c>
      <c r="J162" s="4">
        <f t="shared" si="51"/>
        <v>1.4567650967293486</v>
      </c>
      <c r="K162" s="4">
        <f t="shared" si="51"/>
        <v>1.1220383122120143</v>
      </c>
      <c r="L162" s="4">
        <f t="shared" si="51"/>
        <v>0.7622470459123647</v>
      </c>
      <c r="M162" s="4">
        <f t="shared" si="51"/>
        <v>0.38542844018235717</v>
      </c>
      <c r="N162" s="4">
        <f t="shared" si="51"/>
        <v>0</v>
      </c>
      <c r="O162" s="4">
        <f t="shared" si="51"/>
        <v>-0.38542844018235717</v>
      </c>
      <c r="P162" s="4">
        <f t="shared" si="51"/>
        <v>-0.76224704591236347</v>
      </c>
      <c r="Q162" s="4">
        <f t="shared" si="51"/>
        <v>-1.1220383122120154</v>
      </c>
      <c r="R162" s="4">
        <f t="shared" si="51"/>
        <v>-1.4567650967293486</v>
      </c>
      <c r="S162" s="4">
        <f t="shared" si="51"/>
        <v>-1.7589501562176071</v>
      </c>
      <c r="T162" s="4">
        <f t="shared" si="51"/>
        <v>-2.0218431757936002</v>
      </c>
      <c r="U162" s="4">
        <f t="shared" si="51"/>
        <v>-2.2395715598176418</v>
      </c>
      <c r="V162" s="4">
        <f t="shared" si="51"/>
        <v>-2.4072716159759566</v>
      </c>
      <c r="W162" s="4">
        <f t="shared" si="51"/>
        <v>-2.5211972021299696</v>
      </c>
      <c r="X162" s="7" t="str">
        <f t="shared" si="51"/>
        <v/>
      </c>
    </row>
    <row r="163" spans="1:24" x14ac:dyDescent="0.25">
      <c r="A163" s="2">
        <v>16</v>
      </c>
      <c r="B163" s="4">
        <f>IF(16&lt;=N,(16-0.5)*dx,"")</f>
        <v>0.73809523809523803</v>
      </c>
      <c r="D163" s="7" t="str">
        <f t="shared" ref="D163:X163" si="52">IF(COUNT(C107,E107,D134,D136)&lt;4,"",(E107-C107)/(2*dx)+(D136-D134)/(2*dx))</f>
        <v/>
      </c>
      <c r="E163" s="4">
        <f t="shared" si="52"/>
        <v>2.2368453112158893</v>
      </c>
      <c r="F163" s="4">
        <f t="shared" si="52"/>
        <v>2.1357687619476153</v>
      </c>
      <c r="G163" s="4">
        <f t="shared" si="52"/>
        <v>1.9869826677890716</v>
      </c>
      <c r="H163" s="4">
        <f t="shared" si="52"/>
        <v>1.7938106642221396</v>
      </c>
      <c r="I163" s="4">
        <f t="shared" si="52"/>
        <v>1.5605678945993788</v>
      </c>
      <c r="J163" s="4">
        <f t="shared" si="52"/>
        <v>1.2924646169720853</v>
      </c>
      <c r="K163" s="4">
        <f t="shared" si="52"/>
        <v>0.99548981553512439</v>
      </c>
      <c r="L163" s="4">
        <f t="shared" si="52"/>
        <v>0.67627741661651275</v>
      </c>
      <c r="M163" s="4">
        <f t="shared" si="52"/>
        <v>0.34195809772547664</v>
      </c>
      <c r="N163" s="4">
        <f t="shared" si="52"/>
        <v>0</v>
      </c>
      <c r="O163" s="4">
        <f t="shared" si="52"/>
        <v>-0.34195809772547664</v>
      </c>
      <c r="P163" s="4">
        <f t="shared" si="52"/>
        <v>-0.67627741661651153</v>
      </c>
      <c r="Q163" s="4">
        <f t="shared" si="52"/>
        <v>-0.9954898155351255</v>
      </c>
      <c r="R163" s="4">
        <f t="shared" si="52"/>
        <v>-1.2924646169720853</v>
      </c>
      <c r="S163" s="4">
        <f t="shared" si="52"/>
        <v>-1.5605678945993771</v>
      </c>
      <c r="T163" s="4">
        <f t="shared" si="52"/>
        <v>-1.7938106642221379</v>
      </c>
      <c r="U163" s="4">
        <f t="shared" si="52"/>
        <v>-1.9869826677890698</v>
      </c>
      <c r="V163" s="4">
        <f t="shared" si="52"/>
        <v>-2.1357687619476136</v>
      </c>
      <c r="W163" s="4">
        <f t="shared" si="52"/>
        <v>-2.2368453112158888</v>
      </c>
      <c r="X163" s="7" t="str">
        <f t="shared" si="52"/>
        <v/>
      </c>
    </row>
    <row r="164" spans="1:24" x14ac:dyDescent="0.25">
      <c r="A164" s="2">
        <v>17</v>
      </c>
      <c r="B164" s="4">
        <f>IF(17&lt;=N,(17-0.5)*dx,"")</f>
        <v>0.7857142857142857</v>
      </c>
      <c r="D164" s="7" t="str">
        <f t="shared" ref="D164:X164" si="53">IF(COUNT(C108,E108,D135,D137)&lt;4,"",(E108-C108)/(2*dx)+(D137-D135)/(2*dx))</f>
        <v/>
      </c>
      <c r="E164" s="4">
        <f t="shared" si="53"/>
        <v>1.9025259923248543</v>
      </c>
      <c r="F164" s="4">
        <f t="shared" si="53"/>
        <v>1.8165563630290014</v>
      </c>
      <c r="G164" s="4">
        <f t="shared" si="53"/>
        <v>1.690007866352111</v>
      </c>
      <c r="H164" s="4">
        <f t="shared" si="53"/>
        <v>1.5257073865948467</v>
      </c>
      <c r="I164" s="4">
        <f t="shared" si="53"/>
        <v>1.3273251249766174</v>
      </c>
      <c r="J164" s="4">
        <f t="shared" si="53"/>
        <v>1.0992926134051539</v>
      </c>
      <c r="K164" s="4">
        <f t="shared" si="53"/>
        <v>0.84670372137658023</v>
      </c>
      <c r="L164" s="4">
        <f t="shared" si="53"/>
        <v>0.5752008673482375</v>
      </c>
      <c r="M164" s="4">
        <f t="shared" si="53"/>
        <v>0.29084897643415553</v>
      </c>
      <c r="N164" s="4">
        <f t="shared" si="53"/>
        <v>0</v>
      </c>
      <c r="O164" s="4">
        <f t="shared" si="53"/>
        <v>-0.29084897643415553</v>
      </c>
      <c r="P164" s="4">
        <f t="shared" si="53"/>
        <v>-0.5752008673482375</v>
      </c>
      <c r="Q164" s="4">
        <f t="shared" si="53"/>
        <v>-0.84670372137658145</v>
      </c>
      <c r="R164" s="4">
        <f t="shared" si="53"/>
        <v>-1.0992926134051528</v>
      </c>
      <c r="S164" s="4">
        <f t="shared" si="53"/>
        <v>-1.3273251249766156</v>
      </c>
      <c r="T164" s="4">
        <f t="shared" si="53"/>
        <v>-1.5257073865948449</v>
      </c>
      <c r="U164" s="4">
        <f t="shared" si="53"/>
        <v>-1.6900078663521099</v>
      </c>
      <c r="V164" s="4">
        <f t="shared" si="53"/>
        <v>-1.8165563630290005</v>
      </c>
      <c r="W164" s="4">
        <f t="shared" si="53"/>
        <v>-1.9025259923248532</v>
      </c>
      <c r="X164" s="7" t="str">
        <f t="shared" si="53"/>
        <v/>
      </c>
    </row>
    <row r="165" spans="1:24" x14ac:dyDescent="0.25">
      <c r="A165" s="2">
        <v>18</v>
      </c>
      <c r="B165" s="4">
        <f>IF(18&lt;=N,(18-0.5)*dx,"")</f>
        <v>0.83333333333333326</v>
      </c>
      <c r="D165" s="7" t="str">
        <f t="shared" ref="D165:X165" si="54">IF(COUNT(C109,E109,D136,D138)&lt;4,"",(E109-C109)/(2*dx)+(D138-D136)/(2*dx))</f>
        <v/>
      </c>
      <c r="E165" s="4">
        <f t="shared" si="54"/>
        <v>1.5257073865948474</v>
      </c>
      <c r="F165" s="4">
        <f t="shared" si="54"/>
        <v>1.4567650967293497</v>
      </c>
      <c r="G165" s="4">
        <f t="shared" si="54"/>
        <v>1.3552810818347785</v>
      </c>
      <c r="H165" s="4">
        <f t="shared" si="54"/>
        <v>1.2235223271065889</v>
      </c>
      <c r="I165" s="4">
        <f t="shared" si="54"/>
        <v>1.0644321054006232</v>
      </c>
      <c r="J165" s="4">
        <f t="shared" si="54"/>
        <v>0.8815642293811129</v>
      </c>
      <c r="K165" s="4">
        <f t="shared" si="54"/>
        <v>0.67900366521826594</v>
      </c>
      <c r="L165" s="4">
        <f t="shared" si="54"/>
        <v>0.46127528119422539</v>
      </c>
      <c r="M165" s="4">
        <f t="shared" si="54"/>
        <v>0.23324276962276144</v>
      </c>
      <c r="N165" s="4">
        <f t="shared" si="54"/>
        <v>0</v>
      </c>
      <c r="O165" s="4">
        <f t="shared" si="54"/>
        <v>-0.23324276962276144</v>
      </c>
      <c r="P165" s="4">
        <f t="shared" si="54"/>
        <v>-0.46127528119422484</v>
      </c>
      <c r="Q165" s="4">
        <f t="shared" si="54"/>
        <v>-0.67900366521826649</v>
      </c>
      <c r="R165" s="4">
        <f t="shared" si="54"/>
        <v>-0.88156422938111223</v>
      </c>
      <c r="S165" s="4">
        <f t="shared" si="54"/>
        <v>-1.0644321054006221</v>
      </c>
      <c r="T165" s="4">
        <f t="shared" si="54"/>
        <v>-1.2235223271065878</v>
      </c>
      <c r="U165" s="4">
        <f t="shared" si="54"/>
        <v>-1.3552810818347776</v>
      </c>
      <c r="V165" s="4">
        <f t="shared" si="54"/>
        <v>-1.4567650967293493</v>
      </c>
      <c r="W165" s="4">
        <f t="shared" si="54"/>
        <v>-1.5257073865948465</v>
      </c>
      <c r="X165" s="7" t="str">
        <f t="shared" si="54"/>
        <v/>
      </c>
    </row>
    <row r="166" spans="1:24" x14ac:dyDescent="0.25">
      <c r="A166" s="2">
        <v>19</v>
      </c>
      <c r="B166" s="4">
        <f>IF(19&lt;=N,(19-0.5)*dx,"")</f>
        <v>0.88095238095238093</v>
      </c>
      <c r="D166" s="7" t="str">
        <f t="shared" ref="D166:X166" si="55">IF(COUNT(C110,E110,D137,D139)&lt;4,"",(E110-C110)/(2*dx)+(D139-D137)/(2*dx))</f>
        <v/>
      </c>
      <c r="E166" s="4">
        <f t="shared" si="55"/>
        <v>1.114806999003874</v>
      </c>
      <c r="F166" s="4">
        <f t="shared" si="55"/>
        <v>1.0644321054006225</v>
      </c>
      <c r="G166" s="4">
        <f t="shared" si="55"/>
        <v>0.99027955748382779</v>
      </c>
      <c r="H166" s="4">
        <f t="shared" si="55"/>
        <v>0.89400580064055357</v>
      </c>
      <c r="I166" s="4">
        <f t="shared" si="55"/>
        <v>0.77776143151108446</v>
      </c>
      <c r="J166" s="4">
        <f t="shared" si="55"/>
        <v>0.6441431572137345</v>
      </c>
      <c r="K166" s="4">
        <f t="shared" si="55"/>
        <v>0.49613578919875567</v>
      </c>
      <c r="L166" s="4">
        <f t="shared" si="55"/>
        <v>0.33704556749279041</v>
      </c>
      <c r="M166" s="4">
        <f t="shared" si="55"/>
        <v>0.17042630476006987</v>
      </c>
      <c r="N166" s="4">
        <f t="shared" si="55"/>
        <v>0</v>
      </c>
      <c r="O166" s="4">
        <f t="shared" si="55"/>
        <v>-0.17042630476006987</v>
      </c>
      <c r="P166" s="4">
        <f t="shared" si="55"/>
        <v>-0.33704556749278985</v>
      </c>
      <c r="Q166" s="4">
        <f t="shared" si="55"/>
        <v>-0.49613578919875623</v>
      </c>
      <c r="R166" s="4">
        <f t="shared" si="55"/>
        <v>-0.6441431572137345</v>
      </c>
      <c r="S166" s="4">
        <f t="shared" si="55"/>
        <v>-0.77776143151108357</v>
      </c>
      <c r="T166" s="4">
        <f t="shared" si="55"/>
        <v>-0.89400580064055268</v>
      </c>
      <c r="U166" s="4">
        <f t="shared" si="55"/>
        <v>-0.9902795574838269</v>
      </c>
      <c r="V166" s="4">
        <f t="shared" si="55"/>
        <v>-1.0644321054006221</v>
      </c>
      <c r="W166" s="4">
        <f t="shared" si="55"/>
        <v>-1.1148069990038736</v>
      </c>
      <c r="X166" s="7" t="str">
        <f t="shared" si="55"/>
        <v/>
      </c>
    </row>
    <row r="167" spans="1:24" x14ac:dyDescent="0.25">
      <c r="A167" s="2">
        <v>20</v>
      </c>
      <c r="B167" s="4">
        <f>IF(20&lt;=N,(20-0.5)*dx,"")</f>
        <v>0.92857142857142849</v>
      </c>
      <c r="D167" s="7" t="str">
        <f t="shared" ref="D167:X167" si="56">IF(COUNT(C111,E111,D138,D140)&lt;4,"",(E111-C111)/(2*dx)+(D140-D138)/(2*dx))</f>
        <v/>
      </c>
      <c r="E167" s="4">
        <f t="shared" si="56"/>
        <v>0.67900366521826738</v>
      </c>
      <c r="F167" s="4">
        <f t="shared" si="56"/>
        <v>0.64832145975835254</v>
      </c>
      <c r="G167" s="4">
        <f t="shared" si="56"/>
        <v>0.60315682420639916</v>
      </c>
      <c r="H167" s="4">
        <f t="shared" si="56"/>
        <v>0.54451866188832376</v>
      </c>
      <c r="I167" s="4">
        <f t="shared" si="56"/>
        <v>0.47371685245366635</v>
      </c>
      <c r="J167" s="4">
        <f t="shared" si="56"/>
        <v>0.39233299132872845</v>
      </c>
      <c r="K167" s="4">
        <f t="shared" si="56"/>
        <v>0.30218505948825874</v>
      </c>
      <c r="L167" s="4">
        <f t="shared" si="56"/>
        <v>0.20528681276460128</v>
      </c>
      <c r="M167" s="4">
        <f t="shared" si="56"/>
        <v>0.10380279787002897</v>
      </c>
      <c r="N167" s="4">
        <f t="shared" si="56"/>
        <v>0</v>
      </c>
      <c r="O167" s="4">
        <f t="shared" si="56"/>
        <v>-0.10380279787002897</v>
      </c>
      <c r="P167" s="4">
        <f t="shared" si="56"/>
        <v>-0.20528681276460128</v>
      </c>
      <c r="Q167" s="4">
        <f t="shared" si="56"/>
        <v>-0.30218505948825902</v>
      </c>
      <c r="R167" s="4">
        <f t="shared" si="56"/>
        <v>-0.39233299132872784</v>
      </c>
      <c r="S167" s="4">
        <f t="shared" si="56"/>
        <v>-0.47371685245366579</v>
      </c>
      <c r="T167" s="4">
        <f t="shared" si="56"/>
        <v>-0.54451866188832343</v>
      </c>
      <c r="U167" s="4">
        <f t="shared" si="56"/>
        <v>-0.60315682420639882</v>
      </c>
      <c r="V167" s="4">
        <f t="shared" si="56"/>
        <v>-0.64832145975835209</v>
      </c>
      <c r="W167" s="4">
        <f t="shared" si="56"/>
        <v>-0.67900366521826705</v>
      </c>
      <c r="X167" s="7" t="str">
        <f t="shared" si="56"/>
        <v/>
      </c>
    </row>
    <row r="168" spans="1:24" x14ac:dyDescent="0.25">
      <c r="A168" s="2">
        <v>21</v>
      </c>
      <c r="B168" s="4">
        <f>IF(21&lt;=N,(21-0.5)*dx,"")</f>
        <v>0.97619047619047616</v>
      </c>
      <c r="D168" s="7" t="str">
        <f t="shared" ref="D168:X168" si="57">IF(COUNT(C112,E112,D139,D141)&lt;4,"",(E112-C112)/(2*dx)+(D141-D139)/(2*dx))</f>
        <v/>
      </c>
      <c r="E168" s="7" t="str">
        <f t="shared" si="57"/>
        <v/>
      </c>
      <c r="F168" s="7" t="str">
        <f t="shared" si="57"/>
        <v/>
      </c>
      <c r="G168" s="7" t="str">
        <f t="shared" si="57"/>
        <v/>
      </c>
      <c r="H168" s="7" t="str">
        <f t="shared" si="57"/>
        <v/>
      </c>
      <c r="I168" s="7" t="str">
        <f t="shared" si="57"/>
        <v/>
      </c>
      <c r="J168" s="7" t="str">
        <f t="shared" si="57"/>
        <v/>
      </c>
      <c r="K168" s="7" t="str">
        <f t="shared" si="57"/>
        <v/>
      </c>
      <c r="L168" s="7" t="str">
        <f t="shared" si="57"/>
        <v/>
      </c>
      <c r="M168" s="7" t="str">
        <f t="shared" si="57"/>
        <v/>
      </c>
      <c r="N168" s="7" t="str">
        <f t="shared" si="57"/>
        <v/>
      </c>
      <c r="O168" s="7" t="str">
        <f t="shared" si="57"/>
        <v/>
      </c>
      <c r="P168" s="7" t="str">
        <f t="shared" si="57"/>
        <v/>
      </c>
      <c r="Q168" s="7" t="str">
        <f t="shared" si="57"/>
        <v/>
      </c>
      <c r="R168" s="7" t="str">
        <f t="shared" si="57"/>
        <v/>
      </c>
      <c r="S168" s="7" t="str">
        <f t="shared" si="57"/>
        <v/>
      </c>
      <c r="T168" s="7" t="str">
        <f t="shared" si="57"/>
        <v/>
      </c>
      <c r="U168" s="7" t="str">
        <f t="shared" si="57"/>
        <v/>
      </c>
      <c r="V168" s="7" t="str">
        <f t="shared" si="57"/>
        <v/>
      </c>
      <c r="W168" s="7" t="str">
        <f t="shared" si="57"/>
        <v/>
      </c>
      <c r="X168" s="7" t="str">
        <f t="shared" si="57"/>
        <v/>
      </c>
    </row>
  </sheetData>
  <conditionalFormatting sqref="D64:X84">
    <cfRule type="colorScale" priority="1">
      <colorScale>
        <cfvo type="num" val="-3.2"/>
        <cfvo type="num" val="0"/>
        <cfvo type="num" val="3.2"/>
        <color rgb="FF2166AC"/>
        <color rgb="FFFFFFFF"/>
        <color rgb="FFB2182B"/>
      </colorScale>
    </cfRule>
  </conditionalFormatting>
  <conditionalFormatting sqref="D148:X168">
    <cfRule type="colorScale" priority="2">
      <colorScale>
        <cfvo type="num" val="-3.2"/>
        <cfvo type="num" val="0"/>
        <cfvo type="num" val="3.2"/>
        <color rgb="FF2166AC"/>
        <color rgb="FFFFFFFF"/>
        <color rgb="FFB2182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56"/>
  <sheetViews>
    <sheetView workbookViewId="0"/>
  </sheetViews>
  <sheetFormatPr defaultRowHeight="15" x14ac:dyDescent="0.25"/>
  <sheetData>
    <row r="1" spans="1:24" ht="18.75" x14ac:dyDescent="0.3">
      <c r="A1" s="1" t="s">
        <v>57</v>
      </c>
    </row>
    <row r="2" spans="1:24" x14ac:dyDescent="0.25">
      <c r="A2" t="s">
        <v>58</v>
      </c>
    </row>
    <row r="4" spans="1:24" ht="15.75" x14ac:dyDescent="0.25">
      <c r="A4" s="5" t="s">
        <v>59</v>
      </c>
    </row>
    <row r="5" spans="1:24" x14ac:dyDescent="0.25">
      <c r="A5" s="2" t="s">
        <v>48</v>
      </c>
      <c r="D5" s="2">
        <v>1</v>
      </c>
      <c r="E5" s="2">
        <v>2</v>
      </c>
      <c r="F5" s="2">
        <v>3</v>
      </c>
      <c r="G5" s="2">
        <v>4</v>
      </c>
      <c r="H5" s="2">
        <v>5</v>
      </c>
      <c r="I5" s="2">
        <v>6</v>
      </c>
      <c r="J5" s="2">
        <v>7</v>
      </c>
      <c r="K5" s="2">
        <v>8</v>
      </c>
      <c r="L5" s="2">
        <v>9</v>
      </c>
      <c r="M5" s="2">
        <v>10</v>
      </c>
      <c r="N5" s="2">
        <v>11</v>
      </c>
      <c r="O5" s="2">
        <v>12</v>
      </c>
      <c r="P5" s="2">
        <v>13</v>
      </c>
      <c r="Q5" s="2">
        <v>14</v>
      </c>
      <c r="R5" s="2">
        <v>15</v>
      </c>
      <c r="S5" s="2">
        <v>16</v>
      </c>
      <c r="T5" s="2">
        <v>17</v>
      </c>
      <c r="U5" s="2">
        <v>18</v>
      </c>
      <c r="V5" s="2">
        <v>19</v>
      </c>
      <c r="W5" s="2">
        <v>20</v>
      </c>
      <c r="X5" s="2">
        <v>21</v>
      </c>
    </row>
    <row r="6" spans="1:24" x14ac:dyDescent="0.25">
      <c r="A6" s="2" t="s">
        <v>49</v>
      </c>
      <c r="D6" s="4">
        <f>IF(1&lt;=N,(1-0.5)*dx,"")</f>
        <v>2.3809523809523808E-2</v>
      </c>
      <c r="E6" s="4">
        <f>IF(2&lt;=N,(2-0.5)*dx,"")</f>
        <v>7.1428571428571425E-2</v>
      </c>
      <c r="F6" s="4">
        <f>IF(3&lt;=N,(3-0.5)*dx,"")</f>
        <v>0.11904761904761904</v>
      </c>
      <c r="G6" s="4">
        <f>IF(4&lt;=N,(4-0.5)*dx,"")</f>
        <v>0.16666666666666666</v>
      </c>
      <c r="H6" s="4">
        <f>IF(5&lt;=N,(5-0.5)*dx,"")</f>
        <v>0.21428571428571427</v>
      </c>
      <c r="I6" s="4">
        <f>IF(6&lt;=N,(6-0.5)*dx,"")</f>
        <v>0.26190476190476186</v>
      </c>
      <c r="J6" s="4">
        <f>IF(7&lt;=N,(7-0.5)*dx,"")</f>
        <v>0.30952380952380953</v>
      </c>
      <c r="K6" s="4">
        <f>IF(8&lt;=N,(8-0.5)*dx,"")</f>
        <v>0.3571428571428571</v>
      </c>
      <c r="L6" s="4">
        <f>IF(9&lt;=N,(9-0.5)*dx,"")</f>
        <v>0.40476190476190477</v>
      </c>
      <c r="M6" s="4">
        <f>IF(10&lt;=N,(10-0.5)*dx,"")</f>
        <v>0.45238095238095233</v>
      </c>
      <c r="N6" s="4">
        <f>IF(11&lt;=N,(11-0.5)*dx,"")</f>
        <v>0.5</v>
      </c>
      <c r="O6" s="4">
        <f>IF(12&lt;=N,(12-0.5)*dx,"")</f>
        <v>0.54761904761904756</v>
      </c>
      <c r="P6" s="4">
        <f>IF(13&lt;=N,(13-0.5)*dx,"")</f>
        <v>0.59523809523809523</v>
      </c>
      <c r="Q6" s="4">
        <f>IF(14&lt;=N,(14-0.5)*dx,"")</f>
        <v>0.64285714285714279</v>
      </c>
      <c r="R6" s="4">
        <f>IF(15&lt;=N,(15-0.5)*dx,"")</f>
        <v>0.69047619047619047</v>
      </c>
      <c r="S6" s="4">
        <f>IF(16&lt;=N,(16-0.5)*dx,"")</f>
        <v>0.73809523809523803</v>
      </c>
      <c r="T6" s="4">
        <f>IF(17&lt;=N,(17-0.5)*dx,"")</f>
        <v>0.7857142857142857</v>
      </c>
      <c r="U6" s="4">
        <f>IF(18&lt;=N,(18-0.5)*dx,"")</f>
        <v>0.83333333333333326</v>
      </c>
      <c r="V6" s="4">
        <f>IF(19&lt;=N,(19-0.5)*dx,"")</f>
        <v>0.88095238095238093</v>
      </c>
      <c r="W6" s="4">
        <f>IF(20&lt;=N,(20-0.5)*dx,"")</f>
        <v>0.92857142857142849</v>
      </c>
      <c r="X6" s="4">
        <f>IF(21&lt;=N,(21-0.5)*dx,"")</f>
        <v>0.97619047619047616</v>
      </c>
    </row>
    <row r="7" spans="1:24" x14ac:dyDescent="0.25">
      <c r="A7" s="2" t="s">
        <v>50</v>
      </c>
      <c r="B7" s="2" t="s">
        <v>51</v>
      </c>
    </row>
    <row r="8" spans="1:24" x14ac:dyDescent="0.25">
      <c r="A8" s="2">
        <v>1</v>
      </c>
      <c r="B8" s="4">
        <f>IF(1&lt;=N,(1-0.5)*dx,"")</f>
        <v>2.3809523809523808E-2</v>
      </c>
      <c r="D8" s="4">
        <f t="shared" ref="D8:M17" si="0">IF(COUNT($B8,D$6)&lt;2,"",0)</f>
        <v>0</v>
      </c>
      <c r="E8" s="4">
        <f t="shared" si="0"/>
        <v>0</v>
      </c>
      <c r="F8" s="4">
        <f t="shared" si="0"/>
        <v>0</v>
      </c>
      <c r="G8" s="4">
        <f t="shared" si="0"/>
        <v>0</v>
      </c>
      <c r="H8" s="4">
        <f t="shared" si="0"/>
        <v>0</v>
      </c>
      <c r="I8" s="4">
        <f t="shared" si="0"/>
        <v>0</v>
      </c>
      <c r="J8" s="4">
        <f t="shared" si="0"/>
        <v>0</v>
      </c>
      <c r="K8" s="4">
        <f t="shared" si="0"/>
        <v>0</v>
      </c>
      <c r="L8" s="4">
        <f t="shared" si="0"/>
        <v>0</v>
      </c>
      <c r="M8" s="4">
        <f t="shared" si="0"/>
        <v>0</v>
      </c>
      <c r="N8" s="4">
        <f t="shared" ref="N8:X17" si="1">IF(COUNT($B8,N$6)&lt;2,"",0)</f>
        <v>0</v>
      </c>
      <c r="O8" s="4">
        <f t="shared" si="1"/>
        <v>0</v>
      </c>
      <c r="P8" s="4">
        <f t="shared" si="1"/>
        <v>0</v>
      </c>
      <c r="Q8" s="4">
        <f t="shared" si="1"/>
        <v>0</v>
      </c>
      <c r="R8" s="4">
        <f t="shared" si="1"/>
        <v>0</v>
      </c>
      <c r="S8" s="4">
        <f t="shared" si="1"/>
        <v>0</v>
      </c>
      <c r="T8" s="4">
        <f t="shared" si="1"/>
        <v>0</v>
      </c>
      <c r="U8" s="4">
        <f t="shared" si="1"/>
        <v>0</v>
      </c>
      <c r="V8" s="4">
        <f t="shared" si="1"/>
        <v>0</v>
      </c>
      <c r="W8" s="4">
        <f t="shared" si="1"/>
        <v>0</v>
      </c>
      <c r="X8" s="4">
        <f t="shared" si="1"/>
        <v>0</v>
      </c>
    </row>
    <row r="9" spans="1:24" x14ac:dyDescent="0.25">
      <c r="A9" s="2">
        <v>2</v>
      </c>
      <c r="B9" s="4">
        <f>IF(2&lt;=N,(2-0.5)*dx,"")</f>
        <v>7.1428571428571425E-2</v>
      </c>
      <c r="D9" s="4">
        <f t="shared" si="0"/>
        <v>0</v>
      </c>
      <c r="E9" s="4">
        <f t="shared" si="0"/>
        <v>0</v>
      </c>
      <c r="F9" s="4">
        <f t="shared" si="0"/>
        <v>0</v>
      </c>
      <c r="G9" s="4">
        <f t="shared" si="0"/>
        <v>0</v>
      </c>
      <c r="H9" s="4">
        <f t="shared" si="0"/>
        <v>0</v>
      </c>
      <c r="I9" s="4">
        <f t="shared" si="0"/>
        <v>0</v>
      </c>
      <c r="J9" s="4">
        <f t="shared" si="0"/>
        <v>0</v>
      </c>
      <c r="K9" s="4">
        <f t="shared" si="0"/>
        <v>0</v>
      </c>
      <c r="L9" s="4">
        <f t="shared" si="0"/>
        <v>0</v>
      </c>
      <c r="M9" s="4">
        <f t="shared" si="0"/>
        <v>0</v>
      </c>
      <c r="N9" s="4">
        <f t="shared" si="1"/>
        <v>0</v>
      </c>
      <c r="O9" s="4">
        <f t="shared" si="1"/>
        <v>0</v>
      </c>
      <c r="P9" s="4">
        <f t="shared" si="1"/>
        <v>0</v>
      </c>
      <c r="Q9" s="4">
        <f t="shared" si="1"/>
        <v>0</v>
      </c>
      <c r="R9" s="4">
        <f t="shared" si="1"/>
        <v>0</v>
      </c>
      <c r="S9" s="4">
        <f t="shared" si="1"/>
        <v>0</v>
      </c>
      <c r="T9" s="4">
        <f t="shared" si="1"/>
        <v>0</v>
      </c>
      <c r="U9" s="4">
        <f t="shared" si="1"/>
        <v>0</v>
      </c>
      <c r="V9" s="4">
        <f t="shared" si="1"/>
        <v>0</v>
      </c>
      <c r="W9" s="4">
        <f t="shared" si="1"/>
        <v>0</v>
      </c>
      <c r="X9" s="4">
        <f t="shared" si="1"/>
        <v>0</v>
      </c>
    </row>
    <row r="10" spans="1:24" x14ac:dyDescent="0.25">
      <c r="A10" s="2">
        <v>3</v>
      </c>
      <c r="B10" s="4">
        <f>IF(3&lt;=N,(3-0.5)*dx,"")</f>
        <v>0.11904761904761904</v>
      </c>
      <c r="D10" s="4">
        <f t="shared" si="0"/>
        <v>0</v>
      </c>
      <c r="E10" s="4">
        <f t="shared" si="0"/>
        <v>0</v>
      </c>
      <c r="F10" s="4">
        <f t="shared" si="0"/>
        <v>0</v>
      </c>
      <c r="G10" s="4">
        <f t="shared" si="0"/>
        <v>0</v>
      </c>
      <c r="H10" s="4">
        <f t="shared" si="0"/>
        <v>0</v>
      </c>
      <c r="I10" s="4">
        <f t="shared" si="0"/>
        <v>0</v>
      </c>
      <c r="J10" s="4">
        <f t="shared" si="0"/>
        <v>0</v>
      </c>
      <c r="K10" s="4">
        <f t="shared" si="0"/>
        <v>0</v>
      </c>
      <c r="L10" s="4">
        <f t="shared" si="0"/>
        <v>0</v>
      </c>
      <c r="M10" s="4">
        <f t="shared" si="0"/>
        <v>0</v>
      </c>
      <c r="N10" s="4">
        <f t="shared" si="1"/>
        <v>0</v>
      </c>
      <c r="O10" s="4">
        <f t="shared" si="1"/>
        <v>0</v>
      </c>
      <c r="P10" s="4">
        <f t="shared" si="1"/>
        <v>0</v>
      </c>
      <c r="Q10" s="4">
        <f t="shared" si="1"/>
        <v>0</v>
      </c>
      <c r="R10" s="4">
        <f t="shared" si="1"/>
        <v>0</v>
      </c>
      <c r="S10" s="4">
        <f t="shared" si="1"/>
        <v>0</v>
      </c>
      <c r="T10" s="4">
        <f t="shared" si="1"/>
        <v>0</v>
      </c>
      <c r="U10" s="4">
        <f t="shared" si="1"/>
        <v>0</v>
      </c>
      <c r="V10" s="4">
        <f t="shared" si="1"/>
        <v>0</v>
      </c>
      <c r="W10" s="4">
        <f t="shared" si="1"/>
        <v>0</v>
      </c>
      <c r="X10" s="4">
        <f t="shared" si="1"/>
        <v>0</v>
      </c>
    </row>
    <row r="11" spans="1:24" x14ac:dyDescent="0.25">
      <c r="A11" s="2">
        <v>4</v>
      </c>
      <c r="B11" s="4">
        <f>IF(4&lt;=N,(4-0.5)*dx,"")</f>
        <v>0.16666666666666666</v>
      </c>
      <c r="D11" s="4">
        <f t="shared" si="0"/>
        <v>0</v>
      </c>
      <c r="E11" s="4">
        <f t="shared" si="0"/>
        <v>0</v>
      </c>
      <c r="F11" s="4">
        <f t="shared" si="0"/>
        <v>0</v>
      </c>
      <c r="G11" s="4">
        <f t="shared" si="0"/>
        <v>0</v>
      </c>
      <c r="H11" s="4">
        <f t="shared" si="0"/>
        <v>0</v>
      </c>
      <c r="I11" s="4">
        <f t="shared" si="0"/>
        <v>0</v>
      </c>
      <c r="J11" s="4">
        <f t="shared" si="0"/>
        <v>0</v>
      </c>
      <c r="K11" s="4">
        <f t="shared" si="0"/>
        <v>0</v>
      </c>
      <c r="L11" s="4">
        <f t="shared" si="0"/>
        <v>0</v>
      </c>
      <c r="M11" s="4">
        <f t="shared" si="0"/>
        <v>0</v>
      </c>
      <c r="N11" s="4">
        <f t="shared" si="1"/>
        <v>0</v>
      </c>
      <c r="O11" s="4">
        <f t="shared" si="1"/>
        <v>0</v>
      </c>
      <c r="P11" s="4">
        <f t="shared" si="1"/>
        <v>0</v>
      </c>
      <c r="Q11" s="4">
        <f t="shared" si="1"/>
        <v>0</v>
      </c>
      <c r="R11" s="4">
        <f t="shared" si="1"/>
        <v>0</v>
      </c>
      <c r="S11" s="4">
        <f t="shared" si="1"/>
        <v>0</v>
      </c>
      <c r="T11" s="4">
        <f t="shared" si="1"/>
        <v>0</v>
      </c>
      <c r="U11" s="4">
        <f t="shared" si="1"/>
        <v>0</v>
      </c>
      <c r="V11" s="4">
        <f t="shared" si="1"/>
        <v>0</v>
      </c>
      <c r="W11" s="4">
        <f t="shared" si="1"/>
        <v>0</v>
      </c>
      <c r="X11" s="4">
        <f t="shared" si="1"/>
        <v>0</v>
      </c>
    </row>
    <row r="12" spans="1:24" x14ac:dyDescent="0.25">
      <c r="A12" s="2">
        <v>5</v>
      </c>
      <c r="B12" s="4">
        <f>IF(5&lt;=N,(5-0.5)*dx,"")</f>
        <v>0.21428571428571427</v>
      </c>
      <c r="D12" s="4">
        <f t="shared" si="0"/>
        <v>0</v>
      </c>
      <c r="E12" s="4">
        <f t="shared" si="0"/>
        <v>0</v>
      </c>
      <c r="F12" s="4">
        <f t="shared" si="0"/>
        <v>0</v>
      </c>
      <c r="G12" s="4">
        <f t="shared" si="0"/>
        <v>0</v>
      </c>
      <c r="H12" s="4">
        <f t="shared" si="0"/>
        <v>0</v>
      </c>
      <c r="I12" s="4">
        <f t="shared" si="0"/>
        <v>0</v>
      </c>
      <c r="J12" s="4">
        <f t="shared" si="0"/>
        <v>0</v>
      </c>
      <c r="K12" s="4">
        <f t="shared" si="0"/>
        <v>0</v>
      </c>
      <c r="L12" s="4">
        <f t="shared" si="0"/>
        <v>0</v>
      </c>
      <c r="M12" s="4">
        <f t="shared" si="0"/>
        <v>0</v>
      </c>
      <c r="N12" s="4">
        <f t="shared" si="1"/>
        <v>0</v>
      </c>
      <c r="O12" s="4">
        <f t="shared" si="1"/>
        <v>0</v>
      </c>
      <c r="P12" s="4">
        <f t="shared" si="1"/>
        <v>0</v>
      </c>
      <c r="Q12" s="4">
        <f t="shared" si="1"/>
        <v>0</v>
      </c>
      <c r="R12" s="4">
        <f t="shared" si="1"/>
        <v>0</v>
      </c>
      <c r="S12" s="4">
        <f t="shared" si="1"/>
        <v>0</v>
      </c>
      <c r="T12" s="4">
        <f t="shared" si="1"/>
        <v>0</v>
      </c>
      <c r="U12" s="4">
        <f t="shared" si="1"/>
        <v>0</v>
      </c>
      <c r="V12" s="4">
        <f t="shared" si="1"/>
        <v>0</v>
      </c>
      <c r="W12" s="4">
        <f t="shared" si="1"/>
        <v>0</v>
      </c>
      <c r="X12" s="4">
        <f t="shared" si="1"/>
        <v>0</v>
      </c>
    </row>
    <row r="13" spans="1:24" x14ac:dyDescent="0.25">
      <c r="A13" s="2">
        <v>6</v>
      </c>
      <c r="B13" s="4">
        <f>IF(6&lt;=N,(6-0.5)*dx,"")</f>
        <v>0.26190476190476186</v>
      </c>
      <c r="D13" s="4">
        <f t="shared" si="0"/>
        <v>0</v>
      </c>
      <c r="E13" s="4">
        <f t="shared" si="0"/>
        <v>0</v>
      </c>
      <c r="F13" s="4">
        <f t="shared" si="0"/>
        <v>0</v>
      </c>
      <c r="G13" s="4">
        <f t="shared" si="0"/>
        <v>0</v>
      </c>
      <c r="H13" s="4">
        <f t="shared" si="0"/>
        <v>0</v>
      </c>
      <c r="I13" s="4">
        <f t="shared" si="0"/>
        <v>0</v>
      </c>
      <c r="J13" s="4">
        <f t="shared" si="0"/>
        <v>0</v>
      </c>
      <c r="K13" s="4">
        <f t="shared" si="0"/>
        <v>0</v>
      </c>
      <c r="L13" s="4">
        <f t="shared" si="0"/>
        <v>0</v>
      </c>
      <c r="M13" s="4">
        <f t="shared" si="0"/>
        <v>0</v>
      </c>
      <c r="N13" s="4">
        <f t="shared" si="1"/>
        <v>0</v>
      </c>
      <c r="O13" s="4">
        <f t="shared" si="1"/>
        <v>0</v>
      </c>
      <c r="P13" s="4">
        <f t="shared" si="1"/>
        <v>0</v>
      </c>
      <c r="Q13" s="4">
        <f t="shared" si="1"/>
        <v>0</v>
      </c>
      <c r="R13" s="4">
        <f t="shared" si="1"/>
        <v>0</v>
      </c>
      <c r="S13" s="4">
        <f t="shared" si="1"/>
        <v>0</v>
      </c>
      <c r="T13" s="4">
        <f t="shared" si="1"/>
        <v>0</v>
      </c>
      <c r="U13" s="4">
        <f t="shared" si="1"/>
        <v>0</v>
      </c>
      <c r="V13" s="4">
        <f t="shared" si="1"/>
        <v>0</v>
      </c>
      <c r="W13" s="4">
        <f t="shared" si="1"/>
        <v>0</v>
      </c>
      <c r="X13" s="4">
        <f t="shared" si="1"/>
        <v>0</v>
      </c>
    </row>
    <row r="14" spans="1:24" x14ac:dyDescent="0.25">
      <c r="A14" s="2">
        <v>7</v>
      </c>
      <c r="B14" s="4">
        <f>IF(7&lt;=N,(7-0.5)*dx,"")</f>
        <v>0.30952380952380953</v>
      </c>
      <c r="D14" s="4">
        <f t="shared" si="0"/>
        <v>0</v>
      </c>
      <c r="E14" s="4">
        <f t="shared" si="0"/>
        <v>0</v>
      </c>
      <c r="F14" s="4">
        <f t="shared" si="0"/>
        <v>0</v>
      </c>
      <c r="G14" s="4">
        <f t="shared" si="0"/>
        <v>0</v>
      </c>
      <c r="H14" s="4">
        <f t="shared" si="0"/>
        <v>0</v>
      </c>
      <c r="I14" s="4">
        <f t="shared" si="0"/>
        <v>0</v>
      </c>
      <c r="J14" s="4">
        <f t="shared" si="0"/>
        <v>0</v>
      </c>
      <c r="K14" s="4">
        <f t="shared" si="0"/>
        <v>0</v>
      </c>
      <c r="L14" s="4">
        <f t="shared" si="0"/>
        <v>0</v>
      </c>
      <c r="M14" s="4">
        <f t="shared" si="0"/>
        <v>0</v>
      </c>
      <c r="N14" s="4">
        <f t="shared" si="1"/>
        <v>0</v>
      </c>
      <c r="O14" s="4">
        <f t="shared" si="1"/>
        <v>0</v>
      </c>
      <c r="P14" s="4">
        <f t="shared" si="1"/>
        <v>0</v>
      </c>
      <c r="Q14" s="4">
        <f t="shared" si="1"/>
        <v>0</v>
      </c>
      <c r="R14" s="4">
        <f t="shared" si="1"/>
        <v>0</v>
      </c>
      <c r="S14" s="4">
        <f t="shared" si="1"/>
        <v>0</v>
      </c>
      <c r="T14" s="4">
        <f t="shared" si="1"/>
        <v>0</v>
      </c>
      <c r="U14" s="4">
        <f t="shared" si="1"/>
        <v>0</v>
      </c>
      <c r="V14" s="4">
        <f t="shared" si="1"/>
        <v>0</v>
      </c>
      <c r="W14" s="4">
        <f t="shared" si="1"/>
        <v>0</v>
      </c>
      <c r="X14" s="4">
        <f t="shared" si="1"/>
        <v>0</v>
      </c>
    </row>
    <row r="15" spans="1:24" x14ac:dyDescent="0.25">
      <c r="A15" s="2">
        <v>8</v>
      </c>
      <c r="B15" s="4">
        <f>IF(8&lt;=N,(8-0.5)*dx,"")</f>
        <v>0.3571428571428571</v>
      </c>
      <c r="D15" s="4">
        <f t="shared" si="0"/>
        <v>0</v>
      </c>
      <c r="E15" s="4">
        <f t="shared" si="0"/>
        <v>0</v>
      </c>
      <c r="F15" s="4">
        <f t="shared" si="0"/>
        <v>0</v>
      </c>
      <c r="G15" s="4">
        <f t="shared" si="0"/>
        <v>0</v>
      </c>
      <c r="H15" s="4">
        <f t="shared" si="0"/>
        <v>0</v>
      </c>
      <c r="I15" s="4">
        <f t="shared" si="0"/>
        <v>0</v>
      </c>
      <c r="J15" s="4">
        <f t="shared" si="0"/>
        <v>0</v>
      </c>
      <c r="K15" s="4">
        <f t="shared" si="0"/>
        <v>0</v>
      </c>
      <c r="L15" s="4">
        <f t="shared" si="0"/>
        <v>0</v>
      </c>
      <c r="M15" s="4">
        <f t="shared" si="0"/>
        <v>0</v>
      </c>
      <c r="N15" s="4">
        <f t="shared" si="1"/>
        <v>0</v>
      </c>
      <c r="O15" s="4">
        <f t="shared" si="1"/>
        <v>0</v>
      </c>
      <c r="P15" s="4">
        <f t="shared" si="1"/>
        <v>0</v>
      </c>
      <c r="Q15" s="4">
        <f t="shared" si="1"/>
        <v>0</v>
      </c>
      <c r="R15" s="4">
        <f t="shared" si="1"/>
        <v>0</v>
      </c>
      <c r="S15" s="4">
        <f t="shared" si="1"/>
        <v>0</v>
      </c>
      <c r="T15" s="4">
        <f t="shared" si="1"/>
        <v>0</v>
      </c>
      <c r="U15" s="4">
        <f t="shared" si="1"/>
        <v>0</v>
      </c>
      <c r="V15" s="4">
        <f t="shared" si="1"/>
        <v>0</v>
      </c>
      <c r="W15" s="4">
        <f t="shared" si="1"/>
        <v>0</v>
      </c>
      <c r="X15" s="4">
        <f t="shared" si="1"/>
        <v>0</v>
      </c>
    </row>
    <row r="16" spans="1:24" x14ac:dyDescent="0.25">
      <c r="A16" s="2">
        <v>9</v>
      </c>
      <c r="B16" s="4">
        <f>IF(9&lt;=N,(9-0.5)*dx,"")</f>
        <v>0.40476190476190477</v>
      </c>
      <c r="D16" s="4">
        <f t="shared" si="0"/>
        <v>0</v>
      </c>
      <c r="E16" s="4">
        <f t="shared" si="0"/>
        <v>0</v>
      </c>
      <c r="F16" s="4">
        <f t="shared" si="0"/>
        <v>0</v>
      </c>
      <c r="G16" s="4">
        <f t="shared" si="0"/>
        <v>0</v>
      </c>
      <c r="H16" s="4">
        <f t="shared" si="0"/>
        <v>0</v>
      </c>
      <c r="I16" s="4">
        <f t="shared" si="0"/>
        <v>0</v>
      </c>
      <c r="J16" s="4">
        <f t="shared" si="0"/>
        <v>0</v>
      </c>
      <c r="K16" s="4">
        <f t="shared" si="0"/>
        <v>0</v>
      </c>
      <c r="L16" s="4">
        <f t="shared" si="0"/>
        <v>0</v>
      </c>
      <c r="M16" s="4">
        <f t="shared" si="0"/>
        <v>0</v>
      </c>
      <c r="N16" s="4">
        <f t="shared" si="1"/>
        <v>0</v>
      </c>
      <c r="O16" s="4">
        <f t="shared" si="1"/>
        <v>0</v>
      </c>
      <c r="P16" s="4">
        <f t="shared" si="1"/>
        <v>0</v>
      </c>
      <c r="Q16" s="4">
        <f t="shared" si="1"/>
        <v>0</v>
      </c>
      <c r="R16" s="4">
        <f t="shared" si="1"/>
        <v>0</v>
      </c>
      <c r="S16" s="4">
        <f t="shared" si="1"/>
        <v>0</v>
      </c>
      <c r="T16" s="4">
        <f t="shared" si="1"/>
        <v>0</v>
      </c>
      <c r="U16" s="4">
        <f t="shared" si="1"/>
        <v>0</v>
      </c>
      <c r="V16" s="4">
        <f t="shared" si="1"/>
        <v>0</v>
      </c>
      <c r="W16" s="4">
        <f t="shared" si="1"/>
        <v>0</v>
      </c>
      <c r="X16" s="4">
        <f t="shared" si="1"/>
        <v>0</v>
      </c>
    </row>
    <row r="17" spans="1:24" x14ac:dyDescent="0.25">
      <c r="A17" s="2">
        <v>10</v>
      </c>
      <c r="B17" s="4">
        <f>IF(10&lt;=N,(10-0.5)*dx,"")</f>
        <v>0.45238095238095233</v>
      </c>
      <c r="D17" s="4">
        <f t="shared" si="0"/>
        <v>0</v>
      </c>
      <c r="E17" s="4">
        <f t="shared" si="0"/>
        <v>0</v>
      </c>
      <c r="F17" s="4">
        <f t="shared" si="0"/>
        <v>0</v>
      </c>
      <c r="G17" s="4">
        <f t="shared" si="0"/>
        <v>0</v>
      </c>
      <c r="H17" s="4">
        <f t="shared" si="0"/>
        <v>0</v>
      </c>
      <c r="I17" s="4">
        <f t="shared" si="0"/>
        <v>0</v>
      </c>
      <c r="J17" s="4">
        <f t="shared" si="0"/>
        <v>0</v>
      </c>
      <c r="K17" s="4">
        <f t="shared" si="0"/>
        <v>0</v>
      </c>
      <c r="L17" s="4">
        <f t="shared" si="0"/>
        <v>0</v>
      </c>
      <c r="M17" s="4">
        <f t="shared" si="0"/>
        <v>0</v>
      </c>
      <c r="N17" s="4">
        <f t="shared" si="1"/>
        <v>0</v>
      </c>
      <c r="O17" s="4">
        <f t="shared" si="1"/>
        <v>0</v>
      </c>
      <c r="P17" s="4">
        <f t="shared" si="1"/>
        <v>0</v>
      </c>
      <c r="Q17" s="4">
        <f t="shared" si="1"/>
        <v>0</v>
      </c>
      <c r="R17" s="4">
        <f t="shared" si="1"/>
        <v>0</v>
      </c>
      <c r="S17" s="4">
        <f t="shared" si="1"/>
        <v>0</v>
      </c>
      <c r="T17" s="4">
        <f t="shared" si="1"/>
        <v>0</v>
      </c>
      <c r="U17" s="4">
        <f t="shared" si="1"/>
        <v>0</v>
      </c>
      <c r="V17" s="4">
        <f t="shared" si="1"/>
        <v>0</v>
      </c>
      <c r="W17" s="4">
        <f t="shared" si="1"/>
        <v>0</v>
      </c>
      <c r="X17" s="4">
        <f t="shared" si="1"/>
        <v>0</v>
      </c>
    </row>
    <row r="18" spans="1:24" x14ac:dyDescent="0.25">
      <c r="A18" s="2">
        <v>11</v>
      </c>
      <c r="B18" s="4">
        <f>IF(11&lt;=N,(11-0.5)*dx,"")</f>
        <v>0.5</v>
      </c>
      <c r="D18" s="4">
        <f t="shared" ref="D18:M28" si="2">IF(COUNT($B18,D$6)&lt;2,"",0)</f>
        <v>0</v>
      </c>
      <c r="E18" s="4">
        <f t="shared" si="2"/>
        <v>0</v>
      </c>
      <c r="F18" s="4">
        <f t="shared" si="2"/>
        <v>0</v>
      </c>
      <c r="G18" s="4">
        <f t="shared" si="2"/>
        <v>0</v>
      </c>
      <c r="H18" s="4">
        <f t="shared" si="2"/>
        <v>0</v>
      </c>
      <c r="I18" s="4">
        <f t="shared" si="2"/>
        <v>0</v>
      </c>
      <c r="J18" s="4">
        <f t="shared" si="2"/>
        <v>0</v>
      </c>
      <c r="K18" s="4">
        <f t="shared" si="2"/>
        <v>0</v>
      </c>
      <c r="L18" s="4">
        <f t="shared" si="2"/>
        <v>0</v>
      </c>
      <c r="M18" s="4">
        <f t="shared" si="2"/>
        <v>0</v>
      </c>
      <c r="N18" s="4">
        <f t="shared" ref="N18:X28" si="3">IF(COUNT($B18,N$6)&lt;2,"",0)</f>
        <v>0</v>
      </c>
      <c r="O18" s="4">
        <f t="shared" si="3"/>
        <v>0</v>
      </c>
      <c r="P18" s="4">
        <f t="shared" si="3"/>
        <v>0</v>
      </c>
      <c r="Q18" s="4">
        <f t="shared" si="3"/>
        <v>0</v>
      </c>
      <c r="R18" s="4">
        <f t="shared" si="3"/>
        <v>0</v>
      </c>
      <c r="S18" s="4">
        <f t="shared" si="3"/>
        <v>0</v>
      </c>
      <c r="T18" s="4">
        <f t="shared" si="3"/>
        <v>0</v>
      </c>
      <c r="U18" s="4">
        <f t="shared" si="3"/>
        <v>0</v>
      </c>
      <c r="V18" s="4">
        <f t="shared" si="3"/>
        <v>0</v>
      </c>
      <c r="W18" s="4">
        <f t="shared" si="3"/>
        <v>0</v>
      </c>
      <c r="X18" s="4">
        <f t="shared" si="3"/>
        <v>0</v>
      </c>
    </row>
    <row r="19" spans="1:24" x14ac:dyDescent="0.25">
      <c r="A19" s="2">
        <v>12</v>
      </c>
      <c r="B19" s="4">
        <f>IF(12&lt;=N,(12-0.5)*dx,"")</f>
        <v>0.54761904761904756</v>
      </c>
      <c r="D19" s="4">
        <f t="shared" si="2"/>
        <v>0</v>
      </c>
      <c r="E19" s="4">
        <f t="shared" si="2"/>
        <v>0</v>
      </c>
      <c r="F19" s="4">
        <f t="shared" si="2"/>
        <v>0</v>
      </c>
      <c r="G19" s="4">
        <f t="shared" si="2"/>
        <v>0</v>
      </c>
      <c r="H19" s="4">
        <f t="shared" si="2"/>
        <v>0</v>
      </c>
      <c r="I19" s="4">
        <f t="shared" si="2"/>
        <v>0</v>
      </c>
      <c r="J19" s="4">
        <f t="shared" si="2"/>
        <v>0</v>
      </c>
      <c r="K19" s="4">
        <f t="shared" si="2"/>
        <v>0</v>
      </c>
      <c r="L19" s="4">
        <f t="shared" si="2"/>
        <v>0</v>
      </c>
      <c r="M19" s="4">
        <f t="shared" si="2"/>
        <v>0</v>
      </c>
      <c r="N19" s="4">
        <f t="shared" si="3"/>
        <v>0</v>
      </c>
      <c r="O19" s="4">
        <f t="shared" si="3"/>
        <v>0</v>
      </c>
      <c r="P19" s="4">
        <f t="shared" si="3"/>
        <v>0</v>
      </c>
      <c r="Q19" s="4">
        <f t="shared" si="3"/>
        <v>0</v>
      </c>
      <c r="R19" s="4">
        <f t="shared" si="3"/>
        <v>0</v>
      </c>
      <c r="S19" s="4">
        <f t="shared" si="3"/>
        <v>0</v>
      </c>
      <c r="T19" s="4">
        <f t="shared" si="3"/>
        <v>0</v>
      </c>
      <c r="U19" s="4">
        <f t="shared" si="3"/>
        <v>0</v>
      </c>
      <c r="V19" s="4">
        <f t="shared" si="3"/>
        <v>0</v>
      </c>
      <c r="W19" s="4">
        <f t="shared" si="3"/>
        <v>0</v>
      </c>
      <c r="X19" s="4">
        <f t="shared" si="3"/>
        <v>0</v>
      </c>
    </row>
    <row r="20" spans="1:24" x14ac:dyDescent="0.25">
      <c r="A20" s="2">
        <v>13</v>
      </c>
      <c r="B20" s="4">
        <f>IF(13&lt;=N,(13-0.5)*dx,"")</f>
        <v>0.59523809523809523</v>
      </c>
      <c r="D20" s="4">
        <f t="shared" si="2"/>
        <v>0</v>
      </c>
      <c r="E20" s="4">
        <f t="shared" si="2"/>
        <v>0</v>
      </c>
      <c r="F20" s="4">
        <f t="shared" si="2"/>
        <v>0</v>
      </c>
      <c r="G20" s="4">
        <f t="shared" si="2"/>
        <v>0</v>
      </c>
      <c r="H20" s="4">
        <f t="shared" si="2"/>
        <v>0</v>
      </c>
      <c r="I20" s="4">
        <f t="shared" si="2"/>
        <v>0</v>
      </c>
      <c r="J20" s="4">
        <f t="shared" si="2"/>
        <v>0</v>
      </c>
      <c r="K20" s="4">
        <f t="shared" si="2"/>
        <v>0</v>
      </c>
      <c r="L20" s="4">
        <f t="shared" si="2"/>
        <v>0</v>
      </c>
      <c r="M20" s="4">
        <f t="shared" si="2"/>
        <v>0</v>
      </c>
      <c r="N20" s="4">
        <f t="shared" si="3"/>
        <v>0</v>
      </c>
      <c r="O20" s="4">
        <f t="shared" si="3"/>
        <v>0</v>
      </c>
      <c r="P20" s="4">
        <f t="shared" si="3"/>
        <v>0</v>
      </c>
      <c r="Q20" s="4">
        <f t="shared" si="3"/>
        <v>0</v>
      </c>
      <c r="R20" s="4">
        <f t="shared" si="3"/>
        <v>0</v>
      </c>
      <c r="S20" s="4">
        <f t="shared" si="3"/>
        <v>0</v>
      </c>
      <c r="T20" s="4">
        <f t="shared" si="3"/>
        <v>0</v>
      </c>
      <c r="U20" s="4">
        <f t="shared" si="3"/>
        <v>0</v>
      </c>
      <c r="V20" s="4">
        <f t="shared" si="3"/>
        <v>0</v>
      </c>
      <c r="W20" s="4">
        <f t="shared" si="3"/>
        <v>0</v>
      </c>
      <c r="X20" s="4">
        <f t="shared" si="3"/>
        <v>0</v>
      </c>
    </row>
    <row r="21" spans="1:24" x14ac:dyDescent="0.25">
      <c r="A21" s="2">
        <v>14</v>
      </c>
      <c r="B21" s="4">
        <f>IF(14&lt;=N,(14-0.5)*dx,"")</f>
        <v>0.64285714285714279</v>
      </c>
      <c r="D21" s="4">
        <f t="shared" si="2"/>
        <v>0</v>
      </c>
      <c r="E21" s="4">
        <f t="shared" si="2"/>
        <v>0</v>
      </c>
      <c r="F21" s="4">
        <f t="shared" si="2"/>
        <v>0</v>
      </c>
      <c r="G21" s="4">
        <f t="shared" si="2"/>
        <v>0</v>
      </c>
      <c r="H21" s="4">
        <f t="shared" si="2"/>
        <v>0</v>
      </c>
      <c r="I21" s="4">
        <f t="shared" si="2"/>
        <v>0</v>
      </c>
      <c r="J21" s="4">
        <f t="shared" si="2"/>
        <v>0</v>
      </c>
      <c r="K21" s="4">
        <f t="shared" si="2"/>
        <v>0</v>
      </c>
      <c r="L21" s="4">
        <f t="shared" si="2"/>
        <v>0</v>
      </c>
      <c r="M21" s="4">
        <f t="shared" si="2"/>
        <v>0</v>
      </c>
      <c r="N21" s="4">
        <f t="shared" si="3"/>
        <v>0</v>
      </c>
      <c r="O21" s="4">
        <f t="shared" si="3"/>
        <v>0</v>
      </c>
      <c r="P21" s="4">
        <f t="shared" si="3"/>
        <v>0</v>
      </c>
      <c r="Q21" s="4">
        <f t="shared" si="3"/>
        <v>0</v>
      </c>
      <c r="R21" s="4">
        <f t="shared" si="3"/>
        <v>0</v>
      </c>
      <c r="S21" s="4">
        <f t="shared" si="3"/>
        <v>0</v>
      </c>
      <c r="T21" s="4">
        <f t="shared" si="3"/>
        <v>0</v>
      </c>
      <c r="U21" s="4">
        <f t="shared" si="3"/>
        <v>0</v>
      </c>
      <c r="V21" s="4">
        <f t="shared" si="3"/>
        <v>0</v>
      </c>
      <c r="W21" s="4">
        <f t="shared" si="3"/>
        <v>0</v>
      </c>
      <c r="X21" s="4">
        <f t="shared" si="3"/>
        <v>0</v>
      </c>
    </row>
    <row r="22" spans="1:24" x14ac:dyDescent="0.25">
      <c r="A22" s="2">
        <v>15</v>
      </c>
      <c r="B22" s="4">
        <f>IF(15&lt;=N,(15-0.5)*dx,"")</f>
        <v>0.69047619047619047</v>
      </c>
      <c r="D22" s="4">
        <f t="shared" si="2"/>
        <v>0</v>
      </c>
      <c r="E22" s="4">
        <f t="shared" si="2"/>
        <v>0</v>
      </c>
      <c r="F22" s="4">
        <f t="shared" si="2"/>
        <v>0</v>
      </c>
      <c r="G22" s="4">
        <f t="shared" si="2"/>
        <v>0</v>
      </c>
      <c r="H22" s="4">
        <f t="shared" si="2"/>
        <v>0</v>
      </c>
      <c r="I22" s="4">
        <f t="shared" si="2"/>
        <v>0</v>
      </c>
      <c r="J22" s="4">
        <f t="shared" si="2"/>
        <v>0</v>
      </c>
      <c r="K22" s="4">
        <f t="shared" si="2"/>
        <v>0</v>
      </c>
      <c r="L22" s="4">
        <f t="shared" si="2"/>
        <v>0</v>
      </c>
      <c r="M22" s="4">
        <f t="shared" si="2"/>
        <v>0</v>
      </c>
      <c r="N22" s="4">
        <f t="shared" si="3"/>
        <v>0</v>
      </c>
      <c r="O22" s="4">
        <f t="shared" si="3"/>
        <v>0</v>
      </c>
      <c r="P22" s="4">
        <f t="shared" si="3"/>
        <v>0</v>
      </c>
      <c r="Q22" s="4">
        <f t="shared" si="3"/>
        <v>0</v>
      </c>
      <c r="R22" s="4">
        <f t="shared" si="3"/>
        <v>0</v>
      </c>
      <c r="S22" s="4">
        <f t="shared" si="3"/>
        <v>0</v>
      </c>
      <c r="T22" s="4">
        <f t="shared" si="3"/>
        <v>0</v>
      </c>
      <c r="U22" s="4">
        <f t="shared" si="3"/>
        <v>0</v>
      </c>
      <c r="V22" s="4">
        <f t="shared" si="3"/>
        <v>0</v>
      </c>
      <c r="W22" s="4">
        <f t="shared" si="3"/>
        <v>0</v>
      </c>
      <c r="X22" s="4">
        <f t="shared" si="3"/>
        <v>0</v>
      </c>
    </row>
    <row r="23" spans="1:24" x14ac:dyDescent="0.25">
      <c r="A23" s="2">
        <v>16</v>
      </c>
      <c r="B23" s="4">
        <f>IF(16&lt;=N,(16-0.5)*dx,"")</f>
        <v>0.73809523809523803</v>
      </c>
      <c r="D23" s="4">
        <f t="shared" si="2"/>
        <v>0</v>
      </c>
      <c r="E23" s="4">
        <f t="shared" si="2"/>
        <v>0</v>
      </c>
      <c r="F23" s="4">
        <f t="shared" si="2"/>
        <v>0</v>
      </c>
      <c r="G23" s="4">
        <f t="shared" si="2"/>
        <v>0</v>
      </c>
      <c r="H23" s="4">
        <f t="shared" si="2"/>
        <v>0</v>
      </c>
      <c r="I23" s="4">
        <f t="shared" si="2"/>
        <v>0</v>
      </c>
      <c r="J23" s="4">
        <f t="shared" si="2"/>
        <v>0</v>
      </c>
      <c r="K23" s="4">
        <f t="shared" si="2"/>
        <v>0</v>
      </c>
      <c r="L23" s="4">
        <f t="shared" si="2"/>
        <v>0</v>
      </c>
      <c r="M23" s="4">
        <f t="shared" si="2"/>
        <v>0</v>
      </c>
      <c r="N23" s="4">
        <f t="shared" si="3"/>
        <v>0</v>
      </c>
      <c r="O23" s="4">
        <f t="shared" si="3"/>
        <v>0</v>
      </c>
      <c r="P23" s="4">
        <f t="shared" si="3"/>
        <v>0</v>
      </c>
      <c r="Q23" s="4">
        <f t="shared" si="3"/>
        <v>0</v>
      </c>
      <c r="R23" s="4">
        <f t="shared" si="3"/>
        <v>0</v>
      </c>
      <c r="S23" s="4">
        <f t="shared" si="3"/>
        <v>0</v>
      </c>
      <c r="T23" s="4">
        <f t="shared" si="3"/>
        <v>0</v>
      </c>
      <c r="U23" s="4">
        <f t="shared" si="3"/>
        <v>0</v>
      </c>
      <c r="V23" s="4">
        <f t="shared" si="3"/>
        <v>0</v>
      </c>
      <c r="W23" s="4">
        <f t="shared" si="3"/>
        <v>0</v>
      </c>
      <c r="X23" s="4">
        <f t="shared" si="3"/>
        <v>0</v>
      </c>
    </row>
    <row r="24" spans="1:24" x14ac:dyDescent="0.25">
      <c r="A24" s="2">
        <v>17</v>
      </c>
      <c r="B24" s="4">
        <f>IF(17&lt;=N,(17-0.5)*dx,"")</f>
        <v>0.7857142857142857</v>
      </c>
      <c r="D24" s="4">
        <f t="shared" si="2"/>
        <v>0</v>
      </c>
      <c r="E24" s="4">
        <f t="shared" si="2"/>
        <v>0</v>
      </c>
      <c r="F24" s="4">
        <f t="shared" si="2"/>
        <v>0</v>
      </c>
      <c r="G24" s="4">
        <f t="shared" si="2"/>
        <v>0</v>
      </c>
      <c r="H24" s="4">
        <f t="shared" si="2"/>
        <v>0</v>
      </c>
      <c r="I24" s="4">
        <f t="shared" si="2"/>
        <v>0</v>
      </c>
      <c r="J24" s="4">
        <f t="shared" si="2"/>
        <v>0</v>
      </c>
      <c r="K24" s="4">
        <f t="shared" si="2"/>
        <v>0</v>
      </c>
      <c r="L24" s="4">
        <f t="shared" si="2"/>
        <v>0</v>
      </c>
      <c r="M24" s="4">
        <f t="shared" si="2"/>
        <v>0</v>
      </c>
      <c r="N24" s="4">
        <f t="shared" si="3"/>
        <v>0</v>
      </c>
      <c r="O24" s="4">
        <f t="shared" si="3"/>
        <v>0</v>
      </c>
      <c r="P24" s="4">
        <f t="shared" si="3"/>
        <v>0</v>
      </c>
      <c r="Q24" s="4">
        <f t="shared" si="3"/>
        <v>0</v>
      </c>
      <c r="R24" s="4">
        <f t="shared" si="3"/>
        <v>0</v>
      </c>
      <c r="S24" s="4">
        <f t="shared" si="3"/>
        <v>0</v>
      </c>
      <c r="T24" s="4">
        <f t="shared" si="3"/>
        <v>0</v>
      </c>
      <c r="U24" s="4">
        <f t="shared" si="3"/>
        <v>0</v>
      </c>
      <c r="V24" s="4">
        <f t="shared" si="3"/>
        <v>0</v>
      </c>
      <c r="W24" s="4">
        <f t="shared" si="3"/>
        <v>0</v>
      </c>
      <c r="X24" s="4">
        <f t="shared" si="3"/>
        <v>0</v>
      </c>
    </row>
    <row r="25" spans="1:24" x14ac:dyDescent="0.25">
      <c r="A25" s="2">
        <v>18</v>
      </c>
      <c r="B25" s="4">
        <f>IF(18&lt;=N,(18-0.5)*dx,"")</f>
        <v>0.83333333333333326</v>
      </c>
      <c r="D25" s="4">
        <f t="shared" si="2"/>
        <v>0</v>
      </c>
      <c r="E25" s="4">
        <f t="shared" si="2"/>
        <v>0</v>
      </c>
      <c r="F25" s="4">
        <f t="shared" si="2"/>
        <v>0</v>
      </c>
      <c r="G25" s="4">
        <f t="shared" si="2"/>
        <v>0</v>
      </c>
      <c r="H25" s="4">
        <f t="shared" si="2"/>
        <v>0</v>
      </c>
      <c r="I25" s="4">
        <f t="shared" si="2"/>
        <v>0</v>
      </c>
      <c r="J25" s="4">
        <f t="shared" si="2"/>
        <v>0</v>
      </c>
      <c r="K25" s="4">
        <f t="shared" si="2"/>
        <v>0</v>
      </c>
      <c r="L25" s="4">
        <f t="shared" si="2"/>
        <v>0</v>
      </c>
      <c r="M25" s="4">
        <f t="shared" si="2"/>
        <v>0</v>
      </c>
      <c r="N25" s="4">
        <f t="shared" si="3"/>
        <v>0</v>
      </c>
      <c r="O25" s="4">
        <f t="shared" si="3"/>
        <v>0</v>
      </c>
      <c r="P25" s="4">
        <f t="shared" si="3"/>
        <v>0</v>
      </c>
      <c r="Q25" s="4">
        <f t="shared" si="3"/>
        <v>0</v>
      </c>
      <c r="R25" s="4">
        <f t="shared" si="3"/>
        <v>0</v>
      </c>
      <c r="S25" s="4">
        <f t="shared" si="3"/>
        <v>0</v>
      </c>
      <c r="T25" s="4">
        <f t="shared" si="3"/>
        <v>0</v>
      </c>
      <c r="U25" s="4">
        <f t="shared" si="3"/>
        <v>0</v>
      </c>
      <c r="V25" s="4">
        <f t="shared" si="3"/>
        <v>0</v>
      </c>
      <c r="W25" s="4">
        <f t="shared" si="3"/>
        <v>0</v>
      </c>
      <c r="X25" s="4">
        <f t="shared" si="3"/>
        <v>0</v>
      </c>
    </row>
    <row r="26" spans="1:24" x14ac:dyDescent="0.25">
      <c r="A26" s="2">
        <v>19</v>
      </c>
      <c r="B26" s="4">
        <f>IF(19&lt;=N,(19-0.5)*dx,"")</f>
        <v>0.88095238095238093</v>
      </c>
      <c r="D26" s="4">
        <f t="shared" si="2"/>
        <v>0</v>
      </c>
      <c r="E26" s="4">
        <f t="shared" si="2"/>
        <v>0</v>
      </c>
      <c r="F26" s="4">
        <f t="shared" si="2"/>
        <v>0</v>
      </c>
      <c r="G26" s="4">
        <f t="shared" si="2"/>
        <v>0</v>
      </c>
      <c r="H26" s="4">
        <f t="shared" si="2"/>
        <v>0</v>
      </c>
      <c r="I26" s="4">
        <f t="shared" si="2"/>
        <v>0</v>
      </c>
      <c r="J26" s="4">
        <f t="shared" si="2"/>
        <v>0</v>
      </c>
      <c r="K26" s="4">
        <f t="shared" si="2"/>
        <v>0</v>
      </c>
      <c r="L26" s="4">
        <f t="shared" si="2"/>
        <v>0</v>
      </c>
      <c r="M26" s="4">
        <f t="shared" si="2"/>
        <v>0</v>
      </c>
      <c r="N26" s="4">
        <f t="shared" si="3"/>
        <v>0</v>
      </c>
      <c r="O26" s="4">
        <f t="shared" si="3"/>
        <v>0</v>
      </c>
      <c r="P26" s="4">
        <f t="shared" si="3"/>
        <v>0</v>
      </c>
      <c r="Q26" s="4">
        <f t="shared" si="3"/>
        <v>0</v>
      </c>
      <c r="R26" s="4">
        <f t="shared" si="3"/>
        <v>0</v>
      </c>
      <c r="S26" s="4">
        <f t="shared" si="3"/>
        <v>0</v>
      </c>
      <c r="T26" s="4">
        <f t="shared" si="3"/>
        <v>0</v>
      </c>
      <c r="U26" s="4">
        <f t="shared" si="3"/>
        <v>0</v>
      </c>
      <c r="V26" s="4">
        <f t="shared" si="3"/>
        <v>0</v>
      </c>
      <c r="W26" s="4">
        <f t="shared" si="3"/>
        <v>0</v>
      </c>
      <c r="X26" s="4">
        <f t="shared" si="3"/>
        <v>0</v>
      </c>
    </row>
    <row r="27" spans="1:24" x14ac:dyDescent="0.25">
      <c r="A27" s="2">
        <v>20</v>
      </c>
      <c r="B27" s="4">
        <f>IF(20&lt;=N,(20-0.5)*dx,"")</f>
        <v>0.92857142857142849</v>
      </c>
      <c r="D27" s="4">
        <f t="shared" si="2"/>
        <v>0</v>
      </c>
      <c r="E27" s="4">
        <f t="shared" si="2"/>
        <v>0</v>
      </c>
      <c r="F27" s="4">
        <f t="shared" si="2"/>
        <v>0</v>
      </c>
      <c r="G27" s="4">
        <f t="shared" si="2"/>
        <v>0</v>
      </c>
      <c r="H27" s="4">
        <f t="shared" si="2"/>
        <v>0</v>
      </c>
      <c r="I27" s="4">
        <f t="shared" si="2"/>
        <v>0</v>
      </c>
      <c r="J27" s="4">
        <f t="shared" si="2"/>
        <v>0</v>
      </c>
      <c r="K27" s="4">
        <f t="shared" si="2"/>
        <v>0</v>
      </c>
      <c r="L27" s="4">
        <f t="shared" si="2"/>
        <v>0</v>
      </c>
      <c r="M27" s="4">
        <f t="shared" si="2"/>
        <v>0</v>
      </c>
      <c r="N27" s="4">
        <f t="shared" si="3"/>
        <v>0</v>
      </c>
      <c r="O27" s="4">
        <f t="shared" si="3"/>
        <v>0</v>
      </c>
      <c r="P27" s="4">
        <f t="shared" si="3"/>
        <v>0</v>
      </c>
      <c r="Q27" s="4">
        <f t="shared" si="3"/>
        <v>0</v>
      </c>
      <c r="R27" s="4">
        <f t="shared" si="3"/>
        <v>0</v>
      </c>
      <c r="S27" s="4">
        <f t="shared" si="3"/>
        <v>0</v>
      </c>
      <c r="T27" s="4">
        <f t="shared" si="3"/>
        <v>0</v>
      </c>
      <c r="U27" s="4">
        <f t="shared" si="3"/>
        <v>0</v>
      </c>
      <c r="V27" s="4">
        <f t="shared" si="3"/>
        <v>0</v>
      </c>
      <c r="W27" s="4">
        <f t="shared" si="3"/>
        <v>0</v>
      </c>
      <c r="X27" s="4">
        <f t="shared" si="3"/>
        <v>0</v>
      </c>
    </row>
    <row r="28" spans="1:24" x14ac:dyDescent="0.25">
      <c r="A28" s="2">
        <v>21</v>
      </c>
      <c r="B28" s="4">
        <f>IF(21&lt;=N,(21-0.5)*dx,"")</f>
        <v>0.97619047619047616</v>
      </c>
      <c r="D28" s="4">
        <f t="shared" si="2"/>
        <v>0</v>
      </c>
      <c r="E28" s="4">
        <f t="shared" si="2"/>
        <v>0</v>
      </c>
      <c r="F28" s="4">
        <f t="shared" si="2"/>
        <v>0</v>
      </c>
      <c r="G28" s="4">
        <f t="shared" si="2"/>
        <v>0</v>
      </c>
      <c r="H28" s="4">
        <f t="shared" si="2"/>
        <v>0</v>
      </c>
      <c r="I28" s="4">
        <f t="shared" si="2"/>
        <v>0</v>
      </c>
      <c r="J28" s="4">
        <f t="shared" si="2"/>
        <v>0</v>
      </c>
      <c r="K28" s="4">
        <f t="shared" si="2"/>
        <v>0</v>
      </c>
      <c r="L28" s="4">
        <f t="shared" si="2"/>
        <v>0</v>
      </c>
      <c r="M28" s="4">
        <f t="shared" si="2"/>
        <v>0</v>
      </c>
      <c r="N28" s="4">
        <f t="shared" si="3"/>
        <v>0</v>
      </c>
      <c r="O28" s="4">
        <f t="shared" si="3"/>
        <v>0</v>
      </c>
      <c r="P28" s="4">
        <f t="shared" si="3"/>
        <v>0</v>
      </c>
      <c r="Q28" s="4">
        <f t="shared" si="3"/>
        <v>0</v>
      </c>
      <c r="R28" s="4">
        <f t="shared" si="3"/>
        <v>0</v>
      </c>
      <c r="S28" s="4">
        <f t="shared" si="3"/>
        <v>0</v>
      </c>
      <c r="T28" s="4">
        <f t="shared" si="3"/>
        <v>0</v>
      </c>
      <c r="U28" s="4">
        <f t="shared" si="3"/>
        <v>0</v>
      </c>
      <c r="V28" s="4">
        <f t="shared" si="3"/>
        <v>0</v>
      </c>
      <c r="W28" s="4">
        <f t="shared" si="3"/>
        <v>0</v>
      </c>
      <c r="X28" s="4">
        <f t="shared" si="3"/>
        <v>0</v>
      </c>
    </row>
    <row r="32" spans="1:24" ht="15.75" x14ac:dyDescent="0.25">
      <c r="A32" s="5" t="s">
        <v>60</v>
      </c>
    </row>
    <row r="33" spans="1:24" x14ac:dyDescent="0.25">
      <c r="A33" s="2" t="s">
        <v>48</v>
      </c>
      <c r="D33" s="2">
        <v>1</v>
      </c>
      <c r="E33" s="2">
        <v>2</v>
      </c>
      <c r="F33" s="2">
        <v>3</v>
      </c>
      <c r="G33" s="2">
        <v>4</v>
      </c>
      <c r="H33" s="2">
        <v>5</v>
      </c>
      <c r="I33" s="2">
        <v>6</v>
      </c>
      <c r="J33" s="2">
        <v>7</v>
      </c>
      <c r="K33" s="2">
        <v>8</v>
      </c>
      <c r="L33" s="2">
        <v>9</v>
      </c>
      <c r="M33" s="2">
        <v>10</v>
      </c>
      <c r="N33" s="2">
        <v>11</v>
      </c>
      <c r="O33" s="2">
        <v>12</v>
      </c>
      <c r="P33" s="2">
        <v>13</v>
      </c>
      <c r="Q33" s="2">
        <v>14</v>
      </c>
      <c r="R33" s="2">
        <v>15</v>
      </c>
      <c r="S33" s="2">
        <v>16</v>
      </c>
      <c r="T33" s="2">
        <v>17</v>
      </c>
      <c r="U33" s="2">
        <v>18</v>
      </c>
      <c r="V33" s="2">
        <v>19</v>
      </c>
      <c r="W33" s="2">
        <v>20</v>
      </c>
      <c r="X33" s="2">
        <v>21</v>
      </c>
    </row>
    <row r="34" spans="1:24" x14ac:dyDescent="0.25">
      <c r="A34" s="2" t="s">
        <v>49</v>
      </c>
      <c r="D34" s="4">
        <f>IF(1&lt;=N,(1-0.5)*dx,"")</f>
        <v>2.3809523809523808E-2</v>
      </c>
      <c r="E34" s="4">
        <f>IF(2&lt;=N,(2-0.5)*dx,"")</f>
        <v>7.1428571428571425E-2</v>
      </c>
      <c r="F34" s="4">
        <f>IF(3&lt;=N,(3-0.5)*dx,"")</f>
        <v>0.11904761904761904</v>
      </c>
      <c r="G34" s="4">
        <f>IF(4&lt;=N,(4-0.5)*dx,"")</f>
        <v>0.16666666666666666</v>
      </c>
      <c r="H34" s="4">
        <f>IF(5&lt;=N,(5-0.5)*dx,"")</f>
        <v>0.21428571428571427</v>
      </c>
      <c r="I34" s="4">
        <f>IF(6&lt;=N,(6-0.5)*dx,"")</f>
        <v>0.26190476190476186</v>
      </c>
      <c r="J34" s="4">
        <f>IF(7&lt;=N,(7-0.5)*dx,"")</f>
        <v>0.30952380952380953</v>
      </c>
      <c r="K34" s="4">
        <f>IF(8&lt;=N,(8-0.5)*dx,"")</f>
        <v>0.3571428571428571</v>
      </c>
      <c r="L34" s="4">
        <f>IF(9&lt;=N,(9-0.5)*dx,"")</f>
        <v>0.40476190476190477</v>
      </c>
      <c r="M34" s="4">
        <f>IF(10&lt;=N,(10-0.5)*dx,"")</f>
        <v>0.45238095238095233</v>
      </c>
      <c r="N34" s="4">
        <f>IF(11&lt;=N,(11-0.5)*dx,"")</f>
        <v>0.5</v>
      </c>
      <c r="O34" s="4">
        <f>IF(12&lt;=N,(12-0.5)*dx,"")</f>
        <v>0.54761904761904756</v>
      </c>
      <c r="P34" s="4">
        <f>IF(13&lt;=N,(13-0.5)*dx,"")</f>
        <v>0.59523809523809523</v>
      </c>
      <c r="Q34" s="4">
        <f>IF(14&lt;=N,(14-0.5)*dx,"")</f>
        <v>0.64285714285714279</v>
      </c>
      <c r="R34" s="4">
        <f>IF(15&lt;=N,(15-0.5)*dx,"")</f>
        <v>0.69047619047619047</v>
      </c>
      <c r="S34" s="4">
        <f>IF(16&lt;=N,(16-0.5)*dx,"")</f>
        <v>0.73809523809523803</v>
      </c>
      <c r="T34" s="4">
        <f>IF(17&lt;=N,(17-0.5)*dx,"")</f>
        <v>0.7857142857142857</v>
      </c>
      <c r="U34" s="4">
        <f>IF(18&lt;=N,(18-0.5)*dx,"")</f>
        <v>0.83333333333333326</v>
      </c>
      <c r="V34" s="4">
        <f>IF(19&lt;=N,(19-0.5)*dx,"")</f>
        <v>0.88095238095238093</v>
      </c>
      <c r="W34" s="4">
        <f>IF(20&lt;=N,(20-0.5)*dx,"")</f>
        <v>0.92857142857142849</v>
      </c>
      <c r="X34" s="4">
        <f>IF(21&lt;=N,(21-0.5)*dx,"")</f>
        <v>0.97619047619047616</v>
      </c>
    </row>
    <row r="35" spans="1:24" x14ac:dyDescent="0.25">
      <c r="A35" s="2" t="s">
        <v>50</v>
      </c>
      <c r="B35" s="2" t="s">
        <v>51</v>
      </c>
    </row>
    <row r="36" spans="1:24" x14ac:dyDescent="0.25">
      <c r="A36" s="2">
        <v>1</v>
      </c>
      <c r="B36" s="4">
        <f>IF(1&lt;=N,(1-0.5)*dx,"")</f>
        <v>2.3809523809523808E-2</v>
      </c>
      <c r="D36" s="4">
        <f t="shared" ref="D36:M45" si="4">IF(COUNT($B36,D$34)&lt;2,"",(PI()*U0/L)*COS(PI()*D$34/L)*SIN(PI()*$B36/L))</f>
        <v>0.23411504424672203</v>
      </c>
      <c r="E36" s="4">
        <f t="shared" si="4"/>
        <v>0.22888530102171531</v>
      </c>
      <c r="F36" s="4">
        <f t="shared" si="4"/>
        <v>0.218542638393458</v>
      </c>
      <c r="G36" s="4">
        <f t="shared" si="4"/>
        <v>0.20331809435432985</v>
      </c>
      <c r="H36" s="4">
        <f t="shared" si="4"/>
        <v>0.18355176006036322</v>
      </c>
      <c r="I36" s="4">
        <f t="shared" si="4"/>
        <v>0.15968518275680124</v>
      </c>
      <c r="J36" s="4">
        <f t="shared" si="4"/>
        <v>0.13225150234227351</v>
      </c>
      <c r="K36" s="4">
        <f t="shared" si="4"/>
        <v>0.10186354190444856</v>
      </c>
      <c r="L36" s="4">
        <f t="shared" si="4"/>
        <v>6.9200118264914151E-2</v>
      </c>
      <c r="M36" s="4">
        <f t="shared" si="4"/>
        <v>3.4990878333094826E-2</v>
      </c>
      <c r="N36" s="4">
        <f t="shared" ref="N36:X45" si="5">IF(COUNT($B36,N$34)&lt;2,"",(PI()*U0/L)*COS(PI()*N$34/L)*SIN(PI()*$B36/L))</f>
        <v>1.4381497821233319E-17</v>
      </c>
      <c r="O36" s="4">
        <f t="shared" si="5"/>
        <v>-3.4990878333094756E-2</v>
      </c>
      <c r="P36" s="4">
        <f t="shared" si="5"/>
        <v>-6.9200118264914123E-2</v>
      </c>
      <c r="Q36" s="4">
        <f t="shared" si="5"/>
        <v>-0.10186354190444849</v>
      </c>
      <c r="R36" s="4">
        <f t="shared" si="5"/>
        <v>-0.13225150234227354</v>
      </c>
      <c r="S36" s="4">
        <f t="shared" si="5"/>
        <v>-0.15968518275680113</v>
      </c>
      <c r="T36" s="4">
        <f t="shared" si="5"/>
        <v>-0.18355176006036322</v>
      </c>
      <c r="U36" s="4">
        <f t="shared" si="5"/>
        <v>-0.20331809435432979</v>
      </c>
      <c r="V36" s="4">
        <f t="shared" si="5"/>
        <v>-0.21854263839345797</v>
      </c>
      <c r="W36" s="4">
        <f t="shared" si="5"/>
        <v>-0.22888530102171531</v>
      </c>
      <c r="X36" s="4">
        <f t="shared" si="5"/>
        <v>-0.23411504424672203</v>
      </c>
    </row>
    <row r="37" spans="1:24" x14ac:dyDescent="0.25">
      <c r="A37" s="2">
        <v>2</v>
      </c>
      <c r="B37" s="4">
        <f>IF(2&lt;=N,(2-0.5)*dx,"")</f>
        <v>7.1428571428571425E-2</v>
      </c>
      <c r="D37" s="4">
        <f t="shared" si="4"/>
        <v>0.69711538951515939</v>
      </c>
      <c r="E37" s="4">
        <f t="shared" si="4"/>
        <v>0.68154298366189536</v>
      </c>
      <c r="F37" s="4">
        <f t="shared" si="4"/>
        <v>0.65074603376950324</v>
      </c>
      <c r="G37" s="4">
        <f t="shared" si="4"/>
        <v>0.60541249280815124</v>
      </c>
      <c r="H37" s="4">
        <f t="shared" si="4"/>
        <v>0.54655503717149434</v>
      </c>
      <c r="I37" s="4">
        <f t="shared" si="4"/>
        <v>0.47548844515943811</v>
      </c>
      <c r="J37" s="4">
        <f t="shared" si="4"/>
        <v>0.39380022700352324</v>
      </c>
      <c r="K37" s="4">
        <f t="shared" si="4"/>
        <v>0.30331516251163637</v>
      </c>
      <c r="L37" s="4">
        <f t="shared" si="4"/>
        <v>0.20605453850245753</v>
      </c>
      <c r="M37" s="4">
        <f t="shared" si="4"/>
        <v>0.10419099659800905</v>
      </c>
      <c r="N37" s="4">
        <f t="shared" si="5"/>
        <v>4.2823234567083386E-17</v>
      </c>
      <c r="O37" s="4">
        <f t="shared" si="5"/>
        <v>-0.10419099659800883</v>
      </c>
      <c r="P37" s="4">
        <f t="shared" si="5"/>
        <v>-0.20605453850245745</v>
      </c>
      <c r="Q37" s="4">
        <f t="shared" si="5"/>
        <v>-0.30331516251163615</v>
      </c>
      <c r="R37" s="4">
        <f t="shared" si="5"/>
        <v>-0.3938002270035233</v>
      </c>
      <c r="S37" s="4">
        <f t="shared" si="5"/>
        <v>-0.47548844515943783</v>
      </c>
      <c r="T37" s="4">
        <f t="shared" si="5"/>
        <v>-0.54655503717149434</v>
      </c>
      <c r="U37" s="4">
        <f t="shared" si="5"/>
        <v>-0.60541249280815101</v>
      </c>
      <c r="V37" s="4">
        <f t="shared" si="5"/>
        <v>-0.65074603376950313</v>
      </c>
      <c r="W37" s="4">
        <f t="shared" si="5"/>
        <v>-0.68154298366189536</v>
      </c>
      <c r="X37" s="4">
        <f t="shared" si="5"/>
        <v>-0.69711538951515939</v>
      </c>
    </row>
    <row r="38" spans="1:24" x14ac:dyDescent="0.25">
      <c r="A38" s="2">
        <v>3</v>
      </c>
      <c r="B38" s="4">
        <f>IF(3&lt;=N,(3-0.5)*dx,"")</f>
        <v>0.11904761904761904</v>
      </c>
      <c r="D38" s="4">
        <f t="shared" si="4"/>
        <v>1.1445433289303328</v>
      </c>
      <c r="E38" s="4">
        <f t="shared" si="4"/>
        <v>1.1189761222629473</v>
      </c>
      <c r="F38" s="4">
        <f t="shared" si="4"/>
        <v>1.0684128380765885</v>
      </c>
      <c r="G38" s="4">
        <f t="shared" si="4"/>
        <v>0.99398297658666779</v>
      </c>
      <c r="H38" s="4">
        <f t="shared" si="4"/>
        <v>0.89734917790722579</v>
      </c>
      <c r="I38" s="4">
        <f t="shared" si="4"/>
        <v>0.78067008141821659</v>
      </c>
      <c r="J38" s="4">
        <f t="shared" si="4"/>
        <v>0.64655210532880059</v>
      </c>
      <c r="K38" s="4">
        <f t="shared" si="4"/>
        <v>0.49799122360153242</v>
      </c>
      <c r="L38" s="4">
        <f t="shared" si="4"/>
        <v>0.33830604084473109</v>
      </c>
      <c r="M38" s="4">
        <f t="shared" si="4"/>
        <v>0.17106366016936286</v>
      </c>
      <c r="N38" s="4">
        <f t="shared" si="5"/>
        <v>7.0308371015969769E-17</v>
      </c>
      <c r="O38" s="4">
        <f t="shared" si="5"/>
        <v>-0.1710636601693625</v>
      </c>
      <c r="P38" s="4">
        <f t="shared" si="5"/>
        <v>-0.33830604084473098</v>
      </c>
      <c r="Q38" s="4">
        <f t="shared" si="5"/>
        <v>-0.49799122360153208</v>
      </c>
      <c r="R38" s="4">
        <f t="shared" si="5"/>
        <v>-0.6465521053288007</v>
      </c>
      <c r="S38" s="4">
        <f t="shared" si="5"/>
        <v>-0.78067008141821614</v>
      </c>
      <c r="T38" s="4">
        <f t="shared" si="5"/>
        <v>-0.89734917790722579</v>
      </c>
      <c r="U38" s="4">
        <f t="shared" si="5"/>
        <v>-0.99398297658666745</v>
      </c>
      <c r="V38" s="4">
        <f t="shared" si="5"/>
        <v>-1.0684128380765885</v>
      </c>
      <c r="W38" s="4">
        <f t="shared" si="5"/>
        <v>-1.1189761222629473</v>
      </c>
      <c r="X38" s="4">
        <f t="shared" si="5"/>
        <v>-1.1445433289303328</v>
      </c>
    </row>
    <row r="39" spans="1:24" x14ac:dyDescent="0.25">
      <c r="A39" s="2">
        <v>4</v>
      </c>
      <c r="B39" s="4">
        <f>IF(4&lt;=N,(4-0.5)*dx,"")</f>
        <v>0.16666666666666666</v>
      </c>
      <c r="D39" s="4">
        <f t="shared" si="4"/>
        <v>1.5664040616781205</v>
      </c>
      <c r="E39" s="4">
        <f t="shared" si="4"/>
        <v>1.5314131833450257</v>
      </c>
      <c r="F39" s="4">
        <f t="shared" si="4"/>
        <v>1.4622130650801117</v>
      </c>
      <c r="G39" s="4">
        <f t="shared" si="4"/>
        <v>1.3603495231756633</v>
      </c>
      <c r="H39" s="4">
        <f t="shared" si="4"/>
        <v>1.2280980208333896</v>
      </c>
      <c r="I39" s="4">
        <f t="shared" si="4"/>
        <v>1.0684128380765887</v>
      </c>
      <c r="J39" s="4">
        <f t="shared" si="4"/>
        <v>0.88486107801622516</v>
      </c>
      <c r="K39" s="4">
        <f t="shared" si="4"/>
        <v>0.6815429836618957</v>
      </c>
      <c r="L39" s="4">
        <f t="shared" si="4"/>
        <v>0.46300034526843753</v>
      </c>
      <c r="M39" s="4">
        <f t="shared" si="4"/>
        <v>0.23411504424672233</v>
      </c>
      <c r="N39" s="4">
        <f t="shared" si="5"/>
        <v>9.6222934637445151E-17</v>
      </c>
      <c r="O39" s="4">
        <f t="shared" si="5"/>
        <v>-0.23411504424672183</v>
      </c>
      <c r="P39" s="4">
        <f t="shared" si="5"/>
        <v>-0.46300034526843736</v>
      </c>
      <c r="Q39" s="4">
        <f t="shared" si="5"/>
        <v>-0.68154298366189525</v>
      </c>
      <c r="R39" s="4">
        <f t="shared" si="5"/>
        <v>-0.88486107801622527</v>
      </c>
      <c r="S39" s="4">
        <f t="shared" si="5"/>
        <v>-1.068412838076588</v>
      </c>
      <c r="T39" s="4">
        <f t="shared" si="5"/>
        <v>-1.2280980208333896</v>
      </c>
      <c r="U39" s="4">
        <f t="shared" si="5"/>
        <v>-1.3603495231756628</v>
      </c>
      <c r="V39" s="4">
        <f t="shared" si="5"/>
        <v>-1.4622130650801115</v>
      </c>
      <c r="W39" s="4">
        <f t="shared" si="5"/>
        <v>-1.5314131833450257</v>
      </c>
      <c r="X39" s="4">
        <f t="shared" si="5"/>
        <v>-1.5664040616781205</v>
      </c>
    </row>
    <row r="40" spans="1:24" x14ac:dyDescent="0.25">
      <c r="A40" s="2">
        <v>5</v>
      </c>
      <c r="B40" s="4">
        <f>IF(5&lt;=N,(5-0.5)*dx,"")</f>
        <v>0.21428571428571427</v>
      </c>
      <c r="D40" s="4">
        <f t="shared" si="4"/>
        <v>1.9532739160928136</v>
      </c>
      <c r="E40" s="4">
        <f t="shared" si="4"/>
        <v>1.909641004495285</v>
      </c>
      <c r="F40" s="4">
        <f t="shared" si="4"/>
        <v>1.8233498684441007</v>
      </c>
      <c r="G40" s="4">
        <f t="shared" si="4"/>
        <v>1.6963281093268341</v>
      </c>
      <c r="H40" s="4">
        <f t="shared" si="4"/>
        <v>1.531413183345026</v>
      </c>
      <c r="I40" s="4">
        <f t="shared" si="4"/>
        <v>1.332289017431399</v>
      </c>
      <c r="J40" s="4">
        <f t="shared" si="4"/>
        <v>1.1034037164096833</v>
      </c>
      <c r="K40" s="4">
        <f t="shared" si="4"/>
        <v>0.84987019968313093</v>
      </c>
      <c r="L40" s="4">
        <f t="shared" si="4"/>
        <v>0.57735198706388668</v>
      </c>
      <c r="M40" s="4">
        <f t="shared" si="4"/>
        <v>0.29193668509907511</v>
      </c>
      <c r="N40" s="4">
        <f t="shared" si="5"/>
        <v>1.1998803690273311E-16</v>
      </c>
      <c r="O40" s="4">
        <f t="shared" si="5"/>
        <v>-0.29193668509907444</v>
      </c>
      <c r="P40" s="4">
        <f t="shared" si="5"/>
        <v>-0.57735198706388646</v>
      </c>
      <c r="Q40" s="4">
        <f t="shared" si="5"/>
        <v>-0.84987019968313038</v>
      </c>
      <c r="R40" s="4">
        <f t="shared" si="5"/>
        <v>-1.1034037164096833</v>
      </c>
      <c r="S40" s="4">
        <f t="shared" si="5"/>
        <v>-1.3322890174313982</v>
      </c>
      <c r="T40" s="4">
        <f t="shared" si="5"/>
        <v>-1.531413183345026</v>
      </c>
      <c r="U40" s="4">
        <f t="shared" si="5"/>
        <v>-1.6963281093268334</v>
      </c>
      <c r="V40" s="4">
        <f t="shared" si="5"/>
        <v>-1.8233498684441005</v>
      </c>
      <c r="W40" s="4">
        <f t="shared" si="5"/>
        <v>-1.909641004495285</v>
      </c>
      <c r="X40" s="4">
        <f t="shared" si="5"/>
        <v>-1.9532739160928136</v>
      </c>
    </row>
    <row r="41" spans="1:24" x14ac:dyDescent="0.25">
      <c r="A41" s="2">
        <v>6</v>
      </c>
      <c r="B41" s="4">
        <f>IF(6&lt;=N,(6-0.5)*dx,"")</f>
        <v>0.26190476190476186</v>
      </c>
      <c r="D41" s="4">
        <f t="shared" si="4"/>
        <v>2.2965108589099779</v>
      </c>
      <c r="E41" s="4">
        <f t="shared" si="4"/>
        <v>2.2452106011918884</v>
      </c>
      <c r="F41" s="4">
        <f t="shared" si="4"/>
        <v>2.1437560487420071</v>
      </c>
      <c r="G41" s="4">
        <f t="shared" si="4"/>
        <v>1.9944135286134634</v>
      </c>
      <c r="H41" s="4">
        <f t="shared" si="4"/>
        <v>1.8005191059248427</v>
      </c>
      <c r="I41" s="4">
        <f t="shared" si="4"/>
        <v>1.5664040616781212</v>
      </c>
      <c r="J41" s="4">
        <f t="shared" si="4"/>
        <v>1.2972981390983036</v>
      </c>
      <c r="K41" s="4">
        <f t="shared" si="4"/>
        <v>0.99921271981167481</v>
      </c>
      <c r="L41" s="4">
        <f t="shared" si="4"/>
        <v>0.67880653951376801</v>
      </c>
      <c r="M41" s="4">
        <f t="shared" si="4"/>
        <v>0.34323694281716483</v>
      </c>
      <c r="N41" s="4">
        <f t="shared" si="5"/>
        <v>1.4107280469787639E-16</v>
      </c>
      <c r="O41" s="4">
        <f t="shared" si="5"/>
        <v>-0.3432369428171641</v>
      </c>
      <c r="P41" s="4">
        <f t="shared" si="5"/>
        <v>-0.67880653951376779</v>
      </c>
      <c r="Q41" s="4">
        <f t="shared" si="5"/>
        <v>-0.99921271981167414</v>
      </c>
      <c r="R41" s="4">
        <f t="shared" si="5"/>
        <v>-1.2972981390983038</v>
      </c>
      <c r="S41" s="4">
        <f t="shared" si="5"/>
        <v>-1.5664040616781201</v>
      </c>
      <c r="T41" s="4">
        <f t="shared" si="5"/>
        <v>-1.8005191059248427</v>
      </c>
      <c r="U41" s="4">
        <f t="shared" si="5"/>
        <v>-1.9944135286134628</v>
      </c>
      <c r="V41" s="4">
        <f t="shared" si="5"/>
        <v>-2.1437560487420066</v>
      </c>
      <c r="W41" s="4">
        <f t="shared" si="5"/>
        <v>-2.2452106011918884</v>
      </c>
      <c r="X41" s="4">
        <f t="shared" si="5"/>
        <v>-2.2965108589099779</v>
      </c>
    </row>
    <row r="42" spans="1:24" x14ac:dyDescent="0.25">
      <c r="A42" s="2">
        <v>7</v>
      </c>
      <c r="B42" s="4">
        <f>IF(7&lt;=N,(7-0.5)*dx,"")</f>
        <v>0.30952380952380953</v>
      </c>
      <c r="D42" s="4">
        <f t="shared" si="4"/>
        <v>2.5884475440090533</v>
      </c>
      <c r="E42" s="4">
        <f t="shared" si="4"/>
        <v>2.5306259031567007</v>
      </c>
      <c r="F42" s="4">
        <f t="shared" si="4"/>
        <v>2.4162742613612518</v>
      </c>
      <c r="G42" s="4">
        <f t="shared" si="4"/>
        <v>2.2479470453400165</v>
      </c>
      <c r="H42" s="4">
        <f t="shared" si="4"/>
        <v>2.0294044069465582</v>
      </c>
      <c r="I42" s="4">
        <f t="shared" si="4"/>
        <v>1.7655282275917488</v>
      </c>
      <c r="J42" s="4">
        <f t="shared" si="4"/>
        <v>1.4622130650801117</v>
      </c>
      <c r="K42" s="4">
        <f t="shared" si="4"/>
        <v>1.1262344789289418</v>
      </c>
      <c r="L42" s="4">
        <f t="shared" si="4"/>
        <v>0.76509767556495267</v>
      </c>
      <c r="M42" s="4">
        <f t="shared" si="4"/>
        <v>0.38686985441469357</v>
      </c>
      <c r="N42" s="4">
        <f t="shared" si="5"/>
        <v>1.5900623915186158E-16</v>
      </c>
      <c r="O42" s="4">
        <f t="shared" si="5"/>
        <v>-0.38686985441469279</v>
      </c>
      <c r="P42" s="4">
        <f t="shared" si="5"/>
        <v>-0.76509767556495234</v>
      </c>
      <c r="Q42" s="4">
        <f t="shared" si="5"/>
        <v>-1.1262344789289411</v>
      </c>
      <c r="R42" s="4">
        <f t="shared" si="5"/>
        <v>-1.462213065080112</v>
      </c>
      <c r="S42" s="4">
        <f t="shared" si="5"/>
        <v>-1.7655282275917477</v>
      </c>
      <c r="T42" s="4">
        <f t="shared" si="5"/>
        <v>-2.0294044069465582</v>
      </c>
      <c r="U42" s="4">
        <f t="shared" si="5"/>
        <v>-2.2479470453400157</v>
      </c>
      <c r="V42" s="4">
        <f t="shared" si="5"/>
        <v>-2.4162742613612513</v>
      </c>
      <c r="W42" s="4">
        <f t="shared" si="5"/>
        <v>-2.5306259031567007</v>
      </c>
      <c r="X42" s="4">
        <f t="shared" si="5"/>
        <v>-2.5884475440090533</v>
      </c>
    </row>
    <row r="43" spans="1:24" x14ac:dyDescent="0.25">
      <c r="A43" s="2">
        <v>8</v>
      </c>
      <c r="B43" s="4">
        <f>IF(8&lt;=N,(8-0.5)*dx,"")</f>
        <v>0.3571428571428571</v>
      </c>
      <c r="D43" s="4">
        <f t="shared" si="4"/>
        <v>2.8225625882557748</v>
      </c>
      <c r="E43" s="4">
        <f t="shared" si="4"/>
        <v>2.7595112041784153</v>
      </c>
      <c r="F43" s="4">
        <f t="shared" si="4"/>
        <v>2.6348168997547092</v>
      </c>
      <c r="G43" s="4">
        <f t="shared" si="4"/>
        <v>2.4512651396943461</v>
      </c>
      <c r="H43" s="4">
        <f t="shared" si="4"/>
        <v>2.2129561670069213</v>
      </c>
      <c r="I43" s="4">
        <f t="shared" si="4"/>
        <v>1.9252134103485496</v>
      </c>
      <c r="J43" s="4">
        <f t="shared" si="4"/>
        <v>1.5944645674223852</v>
      </c>
      <c r="K43" s="4">
        <f t="shared" si="4"/>
        <v>1.2280980208333903</v>
      </c>
      <c r="L43" s="4">
        <f t="shared" si="4"/>
        <v>0.83429779382986669</v>
      </c>
      <c r="M43" s="4">
        <f t="shared" si="4"/>
        <v>0.42186073274778835</v>
      </c>
      <c r="N43" s="4">
        <f t="shared" si="5"/>
        <v>1.7338773697309486E-16</v>
      </c>
      <c r="O43" s="4">
        <f t="shared" si="5"/>
        <v>-0.42186073274778746</v>
      </c>
      <c r="P43" s="4">
        <f t="shared" si="5"/>
        <v>-0.83429779382986635</v>
      </c>
      <c r="Q43" s="4">
        <f t="shared" si="5"/>
        <v>-1.2280980208333894</v>
      </c>
      <c r="R43" s="4">
        <f t="shared" si="5"/>
        <v>-1.5944645674223854</v>
      </c>
      <c r="S43" s="4">
        <f t="shared" si="5"/>
        <v>-1.9252134103485485</v>
      </c>
      <c r="T43" s="4">
        <f t="shared" si="5"/>
        <v>-2.2129561670069213</v>
      </c>
      <c r="U43" s="4">
        <f t="shared" si="5"/>
        <v>-2.4512651396943452</v>
      </c>
      <c r="V43" s="4">
        <f t="shared" si="5"/>
        <v>-2.6348168997547088</v>
      </c>
      <c r="W43" s="4">
        <f t="shared" si="5"/>
        <v>-2.7595112041784153</v>
      </c>
      <c r="X43" s="4">
        <f t="shared" si="5"/>
        <v>-2.8225625882557748</v>
      </c>
    </row>
    <row r="44" spans="1:24" x14ac:dyDescent="0.25">
      <c r="A44" s="2">
        <v>9</v>
      </c>
      <c r="B44" s="4">
        <f>IF(9&lt;=N,(9-0.5)*dx,"")</f>
        <v>0.40476190476190477</v>
      </c>
      <c r="D44" s="4">
        <f t="shared" si="4"/>
        <v>2.9936262484251377</v>
      </c>
      <c r="E44" s="4">
        <f t="shared" si="4"/>
        <v>2.9267535848537838</v>
      </c>
      <c r="F44" s="4">
        <f t="shared" si="4"/>
        <v>2.7945020825115106</v>
      </c>
      <c r="G44" s="4">
        <f t="shared" si="4"/>
        <v>2.5998260214216149</v>
      </c>
      <c r="H44" s="4">
        <f t="shared" si="4"/>
        <v>2.3470741430963371</v>
      </c>
      <c r="I44" s="4">
        <f t="shared" si="4"/>
        <v>2.0418925068375593</v>
      </c>
      <c r="J44" s="4">
        <f t="shared" si="4"/>
        <v>1.6910983661018271</v>
      </c>
      <c r="K44" s="4">
        <f t="shared" si="4"/>
        <v>1.3025278823233113</v>
      </c>
      <c r="L44" s="4">
        <f t="shared" si="4"/>
        <v>0.8848610780162256</v>
      </c>
      <c r="M44" s="4">
        <f t="shared" si="4"/>
        <v>0.44742793941517389</v>
      </c>
      <c r="N44" s="4">
        <f t="shared" si="5"/>
        <v>1.8389603926495978E-16</v>
      </c>
      <c r="O44" s="4">
        <f t="shared" si="5"/>
        <v>-0.44742793941517295</v>
      </c>
      <c r="P44" s="4">
        <f t="shared" si="5"/>
        <v>-0.88486107801622527</v>
      </c>
      <c r="Q44" s="4">
        <f t="shared" si="5"/>
        <v>-1.3025278823233104</v>
      </c>
      <c r="R44" s="4">
        <f t="shared" si="5"/>
        <v>-1.6910983661018273</v>
      </c>
      <c r="S44" s="4">
        <f t="shared" si="5"/>
        <v>-2.041892506837558</v>
      </c>
      <c r="T44" s="4">
        <f t="shared" si="5"/>
        <v>-2.3470741430963371</v>
      </c>
      <c r="U44" s="4">
        <f t="shared" si="5"/>
        <v>-2.599826021421614</v>
      </c>
      <c r="V44" s="4">
        <f t="shared" si="5"/>
        <v>-2.7945020825115101</v>
      </c>
      <c r="W44" s="4">
        <f t="shared" si="5"/>
        <v>-2.9267535848537838</v>
      </c>
      <c r="X44" s="4">
        <f t="shared" si="5"/>
        <v>-2.9936262484251377</v>
      </c>
    </row>
    <row r="45" spans="1:24" x14ac:dyDescent="0.25">
      <c r="A45" s="2">
        <v>10</v>
      </c>
      <c r="B45" s="4">
        <f>IF(10&lt;=N,(10-0.5)*dx,"")</f>
        <v>0.45238095238095233</v>
      </c>
      <c r="D45" s="4">
        <f t="shared" si="4"/>
        <v>3.0978172450231467</v>
      </c>
      <c r="E45" s="4">
        <f t="shared" si="4"/>
        <v>3.0286171267582325</v>
      </c>
      <c r="F45" s="4">
        <f t="shared" si="4"/>
        <v>2.8917627065206895</v>
      </c>
      <c r="G45" s="4">
        <f t="shared" si="4"/>
        <v>2.690311085913502</v>
      </c>
      <c r="H45" s="4">
        <f t="shared" si="4"/>
        <v>2.428762361252252</v>
      </c>
      <c r="I45" s="4">
        <f t="shared" si="4"/>
        <v>2.1129590988496156</v>
      </c>
      <c r="J45" s="4">
        <f t="shared" si="4"/>
        <v>1.7499558217384839</v>
      </c>
      <c r="K45" s="4">
        <f t="shared" si="4"/>
        <v>1.3478614232846633</v>
      </c>
      <c r="L45" s="4">
        <f t="shared" si="4"/>
        <v>0.91565802790861783</v>
      </c>
      <c r="M45" s="4">
        <f t="shared" si="4"/>
        <v>0.46300034526843797</v>
      </c>
      <c r="N45" s="4">
        <f t="shared" si="5"/>
        <v>1.9029640791870288E-16</v>
      </c>
      <c r="O45" s="4">
        <f t="shared" si="5"/>
        <v>-0.46300034526843697</v>
      </c>
      <c r="P45" s="4">
        <f t="shared" si="5"/>
        <v>-0.9156580279086175</v>
      </c>
      <c r="Q45" s="4">
        <f t="shared" si="5"/>
        <v>-1.3478614232846626</v>
      </c>
      <c r="R45" s="4">
        <f t="shared" si="5"/>
        <v>-1.7499558217384841</v>
      </c>
      <c r="S45" s="4">
        <f t="shared" si="5"/>
        <v>-2.1129590988496143</v>
      </c>
      <c r="T45" s="4">
        <f t="shared" si="5"/>
        <v>-2.428762361252252</v>
      </c>
      <c r="U45" s="4">
        <f t="shared" si="5"/>
        <v>-2.6903110859135011</v>
      </c>
      <c r="V45" s="4">
        <f t="shared" si="5"/>
        <v>-2.891762706520689</v>
      </c>
      <c r="W45" s="4">
        <f t="shared" si="5"/>
        <v>-3.0286171267582325</v>
      </c>
      <c r="X45" s="4">
        <f t="shared" si="5"/>
        <v>-3.0978172450231467</v>
      </c>
    </row>
    <row r="46" spans="1:24" x14ac:dyDescent="0.25">
      <c r="A46" s="2">
        <v>11</v>
      </c>
      <c r="B46" s="4">
        <f>IF(11&lt;=N,(11-0.5)*dx,"")</f>
        <v>0.5</v>
      </c>
      <c r="D46" s="4">
        <f t="shared" ref="D46:M56" si="6">IF(COUNT($B46,D$34)&lt;2,"",(PI()*U0/L)*COS(PI()*D$34/L)*SIN(PI()*$B46/L))</f>
        <v>3.1328081233562415</v>
      </c>
      <c r="E46" s="4">
        <f t="shared" si="6"/>
        <v>3.0628263666900519</v>
      </c>
      <c r="F46" s="4">
        <f t="shared" si="6"/>
        <v>2.9244261301602239</v>
      </c>
      <c r="G46" s="4">
        <f t="shared" si="6"/>
        <v>2.720699046351327</v>
      </c>
      <c r="H46" s="4">
        <f t="shared" si="6"/>
        <v>2.4561960416667796</v>
      </c>
      <c r="I46" s="4">
        <f t="shared" si="6"/>
        <v>2.1368256761531779</v>
      </c>
      <c r="J46" s="4">
        <f t="shared" si="6"/>
        <v>1.7697221560324505</v>
      </c>
      <c r="K46" s="4">
        <f t="shared" si="6"/>
        <v>1.3630859673237916</v>
      </c>
      <c r="L46" s="4">
        <f t="shared" si="6"/>
        <v>0.92600069053687517</v>
      </c>
      <c r="M46" s="4">
        <f t="shared" si="6"/>
        <v>0.46823008849344472</v>
      </c>
      <c r="N46" s="4">
        <f t="shared" ref="N46:X56" si="7">IF(COUNT($B46,N$34)&lt;2,"",(PI()*U0/L)*COS(PI()*N$34/L)*SIN(PI()*$B46/L))</f>
        <v>1.9244586927489033E-16</v>
      </c>
      <c r="O46" s="4">
        <f t="shared" si="7"/>
        <v>-0.46823008849344372</v>
      </c>
      <c r="P46" s="4">
        <f t="shared" si="7"/>
        <v>-0.92600069053687484</v>
      </c>
      <c r="Q46" s="4">
        <f t="shared" si="7"/>
        <v>-1.3630859673237907</v>
      </c>
      <c r="R46" s="4">
        <f t="shared" si="7"/>
        <v>-1.7697221560324508</v>
      </c>
      <c r="S46" s="4">
        <f t="shared" si="7"/>
        <v>-2.1368256761531765</v>
      </c>
      <c r="T46" s="4">
        <f t="shared" si="7"/>
        <v>-2.4561960416667796</v>
      </c>
      <c r="U46" s="4">
        <f t="shared" si="7"/>
        <v>-2.7206990463513261</v>
      </c>
      <c r="V46" s="4">
        <f t="shared" si="7"/>
        <v>-2.9244261301602235</v>
      </c>
      <c r="W46" s="4">
        <f t="shared" si="7"/>
        <v>-3.0628263666900519</v>
      </c>
      <c r="X46" s="4">
        <f t="shared" si="7"/>
        <v>-3.1328081233562415</v>
      </c>
    </row>
    <row r="47" spans="1:24" x14ac:dyDescent="0.25">
      <c r="A47" s="2">
        <v>12</v>
      </c>
      <c r="B47" s="4">
        <f>IF(12&lt;=N,(12-0.5)*dx,"")</f>
        <v>0.54761904761904756</v>
      </c>
      <c r="D47" s="4">
        <f t="shared" si="6"/>
        <v>3.0978172450231467</v>
      </c>
      <c r="E47" s="4">
        <f t="shared" si="6"/>
        <v>3.0286171267582325</v>
      </c>
      <c r="F47" s="4">
        <f t="shared" si="6"/>
        <v>2.8917627065206895</v>
      </c>
      <c r="G47" s="4">
        <f t="shared" si="6"/>
        <v>2.690311085913502</v>
      </c>
      <c r="H47" s="4">
        <f t="shared" si="6"/>
        <v>2.428762361252252</v>
      </c>
      <c r="I47" s="4">
        <f t="shared" si="6"/>
        <v>2.1129590988496156</v>
      </c>
      <c r="J47" s="4">
        <f t="shared" si="6"/>
        <v>1.7499558217384839</v>
      </c>
      <c r="K47" s="4">
        <f t="shared" si="6"/>
        <v>1.3478614232846633</v>
      </c>
      <c r="L47" s="4">
        <f t="shared" si="6"/>
        <v>0.91565802790861783</v>
      </c>
      <c r="M47" s="4">
        <f t="shared" si="6"/>
        <v>0.46300034526843797</v>
      </c>
      <c r="N47" s="4">
        <f t="shared" si="7"/>
        <v>1.9029640791870288E-16</v>
      </c>
      <c r="O47" s="4">
        <f t="shared" si="7"/>
        <v>-0.46300034526843697</v>
      </c>
      <c r="P47" s="4">
        <f t="shared" si="7"/>
        <v>-0.9156580279086175</v>
      </c>
      <c r="Q47" s="4">
        <f t="shared" si="7"/>
        <v>-1.3478614232846626</v>
      </c>
      <c r="R47" s="4">
        <f t="shared" si="7"/>
        <v>-1.7499558217384841</v>
      </c>
      <c r="S47" s="4">
        <f t="shared" si="7"/>
        <v>-2.1129590988496143</v>
      </c>
      <c r="T47" s="4">
        <f t="shared" si="7"/>
        <v>-2.428762361252252</v>
      </c>
      <c r="U47" s="4">
        <f t="shared" si="7"/>
        <v>-2.6903110859135011</v>
      </c>
      <c r="V47" s="4">
        <f t="shared" si="7"/>
        <v>-2.891762706520689</v>
      </c>
      <c r="W47" s="4">
        <f t="shared" si="7"/>
        <v>-3.0286171267582325</v>
      </c>
      <c r="X47" s="4">
        <f t="shared" si="7"/>
        <v>-3.0978172450231467</v>
      </c>
    </row>
    <row r="48" spans="1:24" x14ac:dyDescent="0.25">
      <c r="A48" s="2">
        <v>13</v>
      </c>
      <c r="B48" s="4">
        <f>IF(13&lt;=N,(13-0.5)*dx,"")</f>
        <v>0.59523809523809523</v>
      </c>
      <c r="D48" s="4">
        <f t="shared" si="6"/>
        <v>2.9936262484251377</v>
      </c>
      <c r="E48" s="4">
        <f t="shared" si="6"/>
        <v>2.9267535848537838</v>
      </c>
      <c r="F48" s="4">
        <f t="shared" si="6"/>
        <v>2.7945020825115106</v>
      </c>
      <c r="G48" s="4">
        <f t="shared" si="6"/>
        <v>2.5998260214216149</v>
      </c>
      <c r="H48" s="4">
        <f t="shared" si="6"/>
        <v>2.3470741430963371</v>
      </c>
      <c r="I48" s="4">
        <f t="shared" si="6"/>
        <v>2.0418925068375593</v>
      </c>
      <c r="J48" s="4">
        <f t="shared" si="6"/>
        <v>1.6910983661018271</v>
      </c>
      <c r="K48" s="4">
        <f t="shared" si="6"/>
        <v>1.3025278823233113</v>
      </c>
      <c r="L48" s="4">
        <f t="shared" si="6"/>
        <v>0.8848610780162256</v>
      </c>
      <c r="M48" s="4">
        <f t="shared" si="6"/>
        <v>0.44742793941517389</v>
      </c>
      <c r="N48" s="4">
        <f t="shared" si="7"/>
        <v>1.8389603926495978E-16</v>
      </c>
      <c r="O48" s="4">
        <f t="shared" si="7"/>
        <v>-0.44742793941517295</v>
      </c>
      <c r="P48" s="4">
        <f t="shared" si="7"/>
        <v>-0.88486107801622527</v>
      </c>
      <c r="Q48" s="4">
        <f t="shared" si="7"/>
        <v>-1.3025278823233104</v>
      </c>
      <c r="R48" s="4">
        <f t="shared" si="7"/>
        <v>-1.6910983661018273</v>
      </c>
      <c r="S48" s="4">
        <f t="shared" si="7"/>
        <v>-2.041892506837558</v>
      </c>
      <c r="T48" s="4">
        <f t="shared" si="7"/>
        <v>-2.3470741430963371</v>
      </c>
      <c r="U48" s="4">
        <f t="shared" si="7"/>
        <v>-2.599826021421614</v>
      </c>
      <c r="V48" s="4">
        <f t="shared" si="7"/>
        <v>-2.7945020825115101</v>
      </c>
      <c r="W48" s="4">
        <f t="shared" si="7"/>
        <v>-2.9267535848537838</v>
      </c>
      <c r="X48" s="4">
        <f t="shared" si="7"/>
        <v>-2.9936262484251377</v>
      </c>
    </row>
    <row r="49" spans="1:24" x14ac:dyDescent="0.25">
      <c r="A49" s="2">
        <v>14</v>
      </c>
      <c r="B49" s="4">
        <f>IF(14&lt;=N,(14-0.5)*dx,"")</f>
        <v>0.64285714285714279</v>
      </c>
      <c r="D49" s="4">
        <f t="shared" si="6"/>
        <v>2.8225625882557752</v>
      </c>
      <c r="E49" s="4">
        <f t="shared" si="6"/>
        <v>2.7595112041784158</v>
      </c>
      <c r="F49" s="4">
        <f t="shared" si="6"/>
        <v>2.6348168997547097</v>
      </c>
      <c r="G49" s="4">
        <f t="shared" si="6"/>
        <v>2.4512651396943466</v>
      </c>
      <c r="H49" s="4">
        <f t="shared" si="6"/>
        <v>2.2129561670069218</v>
      </c>
      <c r="I49" s="4">
        <f t="shared" si="6"/>
        <v>1.9252134103485501</v>
      </c>
      <c r="J49" s="4">
        <f t="shared" si="6"/>
        <v>1.5944645674223854</v>
      </c>
      <c r="K49" s="4">
        <f t="shared" si="6"/>
        <v>1.2280980208333905</v>
      </c>
      <c r="L49" s="4">
        <f t="shared" si="6"/>
        <v>0.8342977938298668</v>
      </c>
      <c r="M49" s="4">
        <f t="shared" si="6"/>
        <v>0.4218607327477884</v>
      </c>
      <c r="N49" s="4">
        <f t="shared" si="7"/>
        <v>1.7338773697309488E-16</v>
      </c>
      <c r="O49" s="4">
        <f t="shared" si="7"/>
        <v>-0.42186073274778751</v>
      </c>
      <c r="P49" s="4">
        <f t="shared" si="7"/>
        <v>-0.83429779382986646</v>
      </c>
      <c r="Q49" s="4">
        <f t="shared" si="7"/>
        <v>-1.2280980208333896</v>
      </c>
      <c r="R49" s="4">
        <f t="shared" si="7"/>
        <v>-1.5944645674223856</v>
      </c>
      <c r="S49" s="4">
        <f t="shared" si="7"/>
        <v>-1.9252134103485488</v>
      </c>
      <c r="T49" s="4">
        <f t="shared" si="7"/>
        <v>-2.2129561670069218</v>
      </c>
      <c r="U49" s="4">
        <f t="shared" si="7"/>
        <v>-2.4512651396943457</v>
      </c>
      <c r="V49" s="4">
        <f t="shared" si="7"/>
        <v>-2.6348168997547092</v>
      </c>
      <c r="W49" s="4">
        <f t="shared" si="7"/>
        <v>-2.7595112041784158</v>
      </c>
      <c r="X49" s="4">
        <f t="shared" si="7"/>
        <v>-2.8225625882557752</v>
      </c>
    </row>
    <row r="50" spans="1:24" x14ac:dyDescent="0.25">
      <c r="A50" s="2">
        <v>15</v>
      </c>
      <c r="B50" s="4">
        <f>IF(15&lt;=N,(15-0.5)*dx,"")</f>
        <v>0.69047619047619047</v>
      </c>
      <c r="D50" s="4">
        <f t="shared" si="6"/>
        <v>2.5884475440090529</v>
      </c>
      <c r="E50" s="4">
        <f t="shared" si="6"/>
        <v>2.5306259031567002</v>
      </c>
      <c r="F50" s="4">
        <f t="shared" si="6"/>
        <v>2.4162742613612513</v>
      </c>
      <c r="G50" s="4">
        <f t="shared" si="6"/>
        <v>2.2479470453400161</v>
      </c>
      <c r="H50" s="4">
        <f t="shared" si="6"/>
        <v>2.0294044069465582</v>
      </c>
      <c r="I50" s="4">
        <f t="shared" si="6"/>
        <v>1.7655282275917485</v>
      </c>
      <c r="J50" s="4">
        <f t="shared" si="6"/>
        <v>1.4622130650801117</v>
      </c>
      <c r="K50" s="4">
        <f t="shared" si="6"/>
        <v>1.1262344789289418</v>
      </c>
      <c r="L50" s="4">
        <f t="shared" si="6"/>
        <v>0.76509767556495256</v>
      </c>
      <c r="M50" s="4">
        <f t="shared" si="6"/>
        <v>0.38686985441469351</v>
      </c>
      <c r="N50" s="4">
        <f t="shared" si="7"/>
        <v>1.5900623915186155E-16</v>
      </c>
      <c r="O50" s="4">
        <f t="shared" si="7"/>
        <v>-0.38686985441469274</v>
      </c>
      <c r="P50" s="4">
        <f t="shared" si="7"/>
        <v>-0.76509767556495223</v>
      </c>
      <c r="Q50" s="4">
        <f t="shared" si="7"/>
        <v>-1.1262344789289409</v>
      </c>
      <c r="R50" s="4">
        <f t="shared" si="7"/>
        <v>-1.4622130650801117</v>
      </c>
      <c r="S50" s="4">
        <f t="shared" si="7"/>
        <v>-1.7655282275917474</v>
      </c>
      <c r="T50" s="4">
        <f t="shared" si="7"/>
        <v>-2.0294044069465582</v>
      </c>
      <c r="U50" s="4">
        <f t="shared" si="7"/>
        <v>-2.2479470453400157</v>
      </c>
      <c r="V50" s="4">
        <f t="shared" si="7"/>
        <v>-2.4162742613612509</v>
      </c>
      <c r="W50" s="4">
        <f t="shared" si="7"/>
        <v>-2.5306259031567002</v>
      </c>
      <c r="X50" s="4">
        <f t="shared" si="7"/>
        <v>-2.5884475440090529</v>
      </c>
    </row>
    <row r="51" spans="1:24" x14ac:dyDescent="0.25">
      <c r="A51" s="2">
        <v>16</v>
      </c>
      <c r="B51" s="4">
        <f>IF(16&lt;=N,(16-0.5)*dx,"")</f>
        <v>0.73809523809523803</v>
      </c>
      <c r="D51" s="4">
        <f t="shared" si="6"/>
        <v>2.2965108589099787</v>
      </c>
      <c r="E51" s="4">
        <f t="shared" si="6"/>
        <v>2.2452106011918889</v>
      </c>
      <c r="F51" s="4">
        <f t="shared" si="6"/>
        <v>2.143756048742008</v>
      </c>
      <c r="G51" s="4">
        <f t="shared" si="6"/>
        <v>1.9944135286134641</v>
      </c>
      <c r="H51" s="4">
        <f t="shared" si="6"/>
        <v>1.8005191059248431</v>
      </c>
      <c r="I51" s="4">
        <f t="shared" si="6"/>
        <v>1.5664040616781216</v>
      </c>
      <c r="J51" s="4">
        <f t="shared" si="6"/>
        <v>1.297298139098304</v>
      </c>
      <c r="K51" s="4">
        <f t="shared" si="6"/>
        <v>0.99921271981167514</v>
      </c>
      <c r="L51" s="4">
        <f t="shared" si="6"/>
        <v>0.67880653951376824</v>
      </c>
      <c r="M51" s="4">
        <f t="shared" si="6"/>
        <v>0.34323694281716494</v>
      </c>
      <c r="N51" s="4">
        <f t="shared" si="7"/>
        <v>1.4107280469787644E-16</v>
      </c>
      <c r="O51" s="4">
        <f t="shared" si="7"/>
        <v>-0.34323694281716421</v>
      </c>
      <c r="P51" s="4">
        <f t="shared" si="7"/>
        <v>-0.67880653951376801</v>
      </c>
      <c r="Q51" s="4">
        <f t="shared" si="7"/>
        <v>-0.99921271981167448</v>
      </c>
      <c r="R51" s="4">
        <f t="shared" si="7"/>
        <v>-1.2972981390983043</v>
      </c>
      <c r="S51" s="4">
        <f t="shared" si="7"/>
        <v>-1.5664040616781205</v>
      </c>
      <c r="T51" s="4">
        <f t="shared" si="7"/>
        <v>-1.8005191059248431</v>
      </c>
      <c r="U51" s="4">
        <f t="shared" si="7"/>
        <v>-1.9944135286134634</v>
      </c>
      <c r="V51" s="4">
        <f t="shared" si="7"/>
        <v>-2.1437560487420075</v>
      </c>
      <c r="W51" s="4">
        <f t="shared" si="7"/>
        <v>-2.2452106011918889</v>
      </c>
      <c r="X51" s="4">
        <f t="shared" si="7"/>
        <v>-2.2965108589099787</v>
      </c>
    </row>
    <row r="52" spans="1:24" x14ac:dyDescent="0.25">
      <c r="A52" s="2">
        <v>17</v>
      </c>
      <c r="B52" s="4">
        <f>IF(17&lt;=N,(17-0.5)*dx,"")</f>
        <v>0.7857142857142857</v>
      </c>
      <c r="D52" s="4">
        <f t="shared" si="6"/>
        <v>1.9532739160928141</v>
      </c>
      <c r="E52" s="4">
        <f t="shared" si="6"/>
        <v>1.9096410044952854</v>
      </c>
      <c r="F52" s="4">
        <f t="shared" si="6"/>
        <v>1.823349868444101</v>
      </c>
      <c r="G52" s="4">
        <f t="shared" si="6"/>
        <v>1.6963281093268343</v>
      </c>
      <c r="H52" s="4">
        <f t="shared" si="6"/>
        <v>1.5314131833450262</v>
      </c>
      <c r="I52" s="4">
        <f t="shared" si="6"/>
        <v>1.3322890174313993</v>
      </c>
      <c r="J52" s="4">
        <f t="shared" si="6"/>
        <v>1.1034037164096835</v>
      </c>
      <c r="K52" s="4">
        <f t="shared" si="6"/>
        <v>0.84987019968313104</v>
      </c>
      <c r="L52" s="4">
        <f t="shared" si="6"/>
        <v>0.5773519870638868</v>
      </c>
      <c r="M52" s="4">
        <f t="shared" si="6"/>
        <v>0.29193668509907517</v>
      </c>
      <c r="N52" s="4">
        <f t="shared" si="7"/>
        <v>1.1998803690273311E-16</v>
      </c>
      <c r="O52" s="4">
        <f t="shared" si="7"/>
        <v>-0.2919366850990745</v>
      </c>
      <c r="P52" s="4">
        <f t="shared" si="7"/>
        <v>-0.57735198706388657</v>
      </c>
      <c r="Q52" s="4">
        <f t="shared" si="7"/>
        <v>-0.84987019968313049</v>
      </c>
      <c r="R52" s="4">
        <f t="shared" si="7"/>
        <v>-1.1034037164096835</v>
      </c>
      <c r="S52" s="4">
        <f t="shared" si="7"/>
        <v>-1.3322890174313984</v>
      </c>
      <c r="T52" s="4">
        <f t="shared" si="7"/>
        <v>-1.5314131833450262</v>
      </c>
      <c r="U52" s="4">
        <f t="shared" si="7"/>
        <v>-1.6963281093268336</v>
      </c>
      <c r="V52" s="4">
        <f t="shared" si="7"/>
        <v>-1.8233498684441007</v>
      </c>
      <c r="W52" s="4">
        <f t="shared" si="7"/>
        <v>-1.9096410044952854</v>
      </c>
      <c r="X52" s="4">
        <f t="shared" si="7"/>
        <v>-1.9532739160928141</v>
      </c>
    </row>
    <row r="53" spans="1:24" x14ac:dyDescent="0.25">
      <c r="A53" s="2">
        <v>18</v>
      </c>
      <c r="B53" s="4">
        <f>IF(18&lt;=N,(18-0.5)*dx,"")</f>
        <v>0.83333333333333326</v>
      </c>
      <c r="D53" s="4">
        <f t="shared" si="6"/>
        <v>1.5664040616781219</v>
      </c>
      <c r="E53" s="4">
        <f t="shared" si="6"/>
        <v>1.5314131833450271</v>
      </c>
      <c r="F53" s="4">
        <f t="shared" si="6"/>
        <v>1.4622130650801128</v>
      </c>
      <c r="G53" s="4">
        <f t="shared" si="6"/>
        <v>1.3603495231756644</v>
      </c>
      <c r="H53" s="4">
        <f t="shared" si="6"/>
        <v>1.2280980208333907</v>
      </c>
      <c r="I53" s="4">
        <f t="shared" si="6"/>
        <v>1.0684128380765896</v>
      </c>
      <c r="J53" s="4">
        <f t="shared" si="6"/>
        <v>0.88486107801622582</v>
      </c>
      <c r="K53" s="4">
        <f t="shared" si="6"/>
        <v>0.68154298366189625</v>
      </c>
      <c r="L53" s="4">
        <f t="shared" si="6"/>
        <v>0.46300034526843792</v>
      </c>
      <c r="M53" s="4">
        <f t="shared" si="6"/>
        <v>0.23411504424672253</v>
      </c>
      <c r="N53" s="4">
        <f t="shared" si="7"/>
        <v>9.6222934637445225E-17</v>
      </c>
      <c r="O53" s="4">
        <f t="shared" si="7"/>
        <v>-0.23411504424672203</v>
      </c>
      <c r="P53" s="4">
        <f t="shared" si="7"/>
        <v>-0.46300034526843775</v>
      </c>
      <c r="Q53" s="4">
        <f t="shared" si="7"/>
        <v>-0.68154298366189581</v>
      </c>
      <c r="R53" s="4">
        <f t="shared" si="7"/>
        <v>-0.88486107801622593</v>
      </c>
      <c r="S53" s="4">
        <f t="shared" si="7"/>
        <v>-1.0684128380765889</v>
      </c>
      <c r="T53" s="4">
        <f t="shared" si="7"/>
        <v>-1.2280980208333907</v>
      </c>
      <c r="U53" s="4">
        <f t="shared" si="7"/>
        <v>-1.3603495231756639</v>
      </c>
      <c r="V53" s="4">
        <f t="shared" si="7"/>
        <v>-1.4622130650801126</v>
      </c>
      <c r="W53" s="4">
        <f t="shared" si="7"/>
        <v>-1.5314131833450271</v>
      </c>
      <c r="X53" s="4">
        <f t="shared" si="7"/>
        <v>-1.5664040616781219</v>
      </c>
    </row>
    <row r="54" spans="1:24" x14ac:dyDescent="0.25">
      <c r="A54" s="2">
        <v>19</v>
      </c>
      <c r="B54" s="4">
        <f>IF(19&lt;=N,(19-0.5)*dx,"")</f>
        <v>0.88095238095238093</v>
      </c>
      <c r="D54" s="4">
        <f t="shared" si="6"/>
        <v>1.1445433289303337</v>
      </c>
      <c r="E54" s="4">
        <f t="shared" si="6"/>
        <v>1.1189761222629482</v>
      </c>
      <c r="F54" s="4">
        <f t="shared" si="6"/>
        <v>1.0684128380765894</v>
      </c>
      <c r="G54" s="4">
        <f t="shared" si="6"/>
        <v>0.99398297658666845</v>
      </c>
      <c r="H54" s="4">
        <f t="shared" si="6"/>
        <v>0.89734917790722657</v>
      </c>
      <c r="I54" s="4">
        <f t="shared" si="6"/>
        <v>0.78067008141821714</v>
      </c>
      <c r="J54" s="4">
        <f t="shared" si="6"/>
        <v>0.64655210532880103</v>
      </c>
      <c r="K54" s="4">
        <f t="shared" si="6"/>
        <v>0.49799122360153281</v>
      </c>
      <c r="L54" s="4">
        <f t="shared" si="6"/>
        <v>0.33830604084473137</v>
      </c>
      <c r="M54" s="4">
        <f t="shared" si="6"/>
        <v>0.171063660169363</v>
      </c>
      <c r="N54" s="4">
        <f t="shared" si="7"/>
        <v>7.0308371015969819E-17</v>
      </c>
      <c r="O54" s="4">
        <f t="shared" si="7"/>
        <v>-0.17106366016936264</v>
      </c>
      <c r="P54" s="4">
        <f t="shared" si="7"/>
        <v>-0.3383060408447312</v>
      </c>
      <c r="Q54" s="4">
        <f t="shared" si="7"/>
        <v>-0.49799122360153247</v>
      </c>
      <c r="R54" s="4">
        <f t="shared" si="7"/>
        <v>-0.64655210532880114</v>
      </c>
      <c r="S54" s="4">
        <f t="shared" si="7"/>
        <v>-0.7806700814182167</v>
      </c>
      <c r="T54" s="4">
        <f t="shared" si="7"/>
        <v>-0.89734917790722657</v>
      </c>
      <c r="U54" s="4">
        <f t="shared" si="7"/>
        <v>-0.99398297658666812</v>
      </c>
      <c r="V54" s="4">
        <f t="shared" si="7"/>
        <v>-1.0684128380765892</v>
      </c>
      <c r="W54" s="4">
        <f t="shared" si="7"/>
        <v>-1.1189761222629482</v>
      </c>
      <c r="X54" s="4">
        <f t="shared" si="7"/>
        <v>-1.1445433289303337</v>
      </c>
    </row>
    <row r="55" spans="1:24" x14ac:dyDescent="0.25">
      <c r="A55" s="2">
        <v>20</v>
      </c>
      <c r="B55" s="4">
        <f>IF(20&lt;=N,(20-0.5)*dx,"")</f>
        <v>0.92857142857142849</v>
      </c>
      <c r="D55" s="4">
        <f t="shared" si="6"/>
        <v>0.69711538951516117</v>
      </c>
      <c r="E55" s="4">
        <f t="shared" si="6"/>
        <v>0.68154298366189714</v>
      </c>
      <c r="F55" s="4">
        <f t="shared" si="6"/>
        <v>0.65074603376950491</v>
      </c>
      <c r="G55" s="4">
        <f t="shared" si="6"/>
        <v>0.60541249280815268</v>
      </c>
      <c r="H55" s="4">
        <f t="shared" si="6"/>
        <v>0.54655503717149567</v>
      </c>
      <c r="I55" s="4">
        <f t="shared" si="6"/>
        <v>0.47548844515943933</v>
      </c>
      <c r="J55" s="4">
        <f t="shared" si="6"/>
        <v>0.39380022700352424</v>
      </c>
      <c r="K55" s="4">
        <f t="shared" si="6"/>
        <v>0.30331516251163709</v>
      </c>
      <c r="L55" s="4">
        <f t="shared" si="6"/>
        <v>0.20605453850245803</v>
      </c>
      <c r="M55" s="4">
        <f t="shared" si="6"/>
        <v>0.10419099659800932</v>
      </c>
      <c r="N55" s="4">
        <f t="shared" si="7"/>
        <v>4.2823234567083491E-17</v>
      </c>
      <c r="O55" s="4">
        <f t="shared" si="7"/>
        <v>-0.10419099659800909</v>
      </c>
      <c r="P55" s="4">
        <f t="shared" si="7"/>
        <v>-0.20605453850245797</v>
      </c>
      <c r="Q55" s="4">
        <f t="shared" si="7"/>
        <v>-0.30331516251163693</v>
      </c>
      <c r="R55" s="4">
        <f t="shared" si="7"/>
        <v>-0.39380022700352429</v>
      </c>
      <c r="S55" s="4">
        <f t="shared" si="7"/>
        <v>-0.47548844515943905</v>
      </c>
      <c r="T55" s="4">
        <f t="shared" si="7"/>
        <v>-0.54655503717149567</v>
      </c>
      <c r="U55" s="4">
        <f t="shared" si="7"/>
        <v>-0.60541249280815246</v>
      </c>
      <c r="V55" s="4">
        <f t="shared" si="7"/>
        <v>-0.65074603376950479</v>
      </c>
      <c r="W55" s="4">
        <f t="shared" si="7"/>
        <v>-0.68154298366189714</v>
      </c>
      <c r="X55" s="4">
        <f t="shared" si="7"/>
        <v>-0.69711538951516117</v>
      </c>
    </row>
    <row r="56" spans="1:24" x14ac:dyDescent="0.25">
      <c r="A56" s="2">
        <v>21</v>
      </c>
      <c r="B56" s="4">
        <f>IF(21&lt;=N,(21-0.5)*dx,"")</f>
        <v>0.97619047619047616</v>
      </c>
      <c r="D56" s="4">
        <f t="shared" si="6"/>
        <v>0.23411504424672336</v>
      </c>
      <c r="E56" s="4">
        <f t="shared" si="6"/>
        <v>0.22888530102171661</v>
      </c>
      <c r="F56" s="4">
        <f t="shared" si="6"/>
        <v>0.21854263839345928</v>
      </c>
      <c r="G56" s="4">
        <f t="shared" si="6"/>
        <v>0.20331809435433101</v>
      </c>
      <c r="H56" s="4">
        <f t="shared" si="6"/>
        <v>0.18355176006036428</v>
      </c>
      <c r="I56" s="4">
        <f t="shared" si="6"/>
        <v>0.15968518275680216</v>
      </c>
      <c r="J56" s="4">
        <f t="shared" si="6"/>
        <v>0.13225150234227426</v>
      </c>
      <c r="K56" s="4">
        <f t="shared" si="6"/>
        <v>0.10186354190444914</v>
      </c>
      <c r="L56" s="4">
        <f t="shared" si="6"/>
        <v>6.9200118264914554E-2</v>
      </c>
      <c r="M56" s="4">
        <f t="shared" si="6"/>
        <v>3.4990878333095027E-2</v>
      </c>
      <c r="N56" s="4">
        <f t="shared" si="7"/>
        <v>1.4381497821233403E-17</v>
      </c>
      <c r="O56" s="4">
        <f t="shared" si="7"/>
        <v>-3.4990878333094957E-2</v>
      </c>
      <c r="P56" s="4">
        <f t="shared" si="7"/>
        <v>-6.9200118264914526E-2</v>
      </c>
      <c r="Q56" s="4">
        <f t="shared" si="7"/>
        <v>-0.10186354190444909</v>
      </c>
      <c r="R56" s="4">
        <f t="shared" si="7"/>
        <v>-0.13225150234227429</v>
      </c>
      <c r="S56" s="4">
        <f t="shared" si="7"/>
        <v>-0.15968518275680205</v>
      </c>
      <c r="T56" s="4">
        <f t="shared" si="7"/>
        <v>-0.18355176006036428</v>
      </c>
      <c r="U56" s="4">
        <f t="shared" si="7"/>
        <v>-0.20331809435433096</v>
      </c>
      <c r="V56" s="4">
        <f t="shared" si="7"/>
        <v>-0.21854263839345922</v>
      </c>
      <c r="W56" s="4">
        <f t="shared" si="7"/>
        <v>-0.22888530102171661</v>
      </c>
      <c r="X56" s="4">
        <f t="shared" si="7"/>
        <v>-0.23411504424672336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209"/>
  <sheetViews>
    <sheetView workbookViewId="0"/>
  </sheetViews>
  <sheetFormatPr defaultRowHeight="15" x14ac:dyDescent="0.25"/>
  <cols>
    <col min="1" max="1" width="30" customWidth="1"/>
    <col min="2" max="6" width="16" customWidth="1"/>
  </cols>
  <sheetData>
    <row r="1" spans="1:4" ht="18.75" x14ac:dyDescent="0.3">
      <c r="A1" s="1" t="s">
        <v>61</v>
      </c>
    </row>
    <row r="3" spans="1:4" ht="15.75" x14ac:dyDescent="0.25">
      <c r="A3" s="5" t="s">
        <v>62</v>
      </c>
    </row>
    <row r="4" spans="1:4" x14ac:dyDescent="0.25">
      <c r="A4" s="2" t="s">
        <v>63</v>
      </c>
      <c r="B4" s="2" t="s">
        <v>64</v>
      </c>
      <c r="C4" s="2" t="s">
        <v>65</v>
      </c>
      <c r="D4" s="2" t="s">
        <v>4</v>
      </c>
    </row>
    <row r="5" spans="1:4" x14ac:dyDescent="0.25">
      <c r="A5" t="s">
        <v>66</v>
      </c>
      <c r="B5" s="8">
        <f>MAX(errA)</f>
        <v>2.4424906541753444E-15</v>
      </c>
      <c r="C5" s="8">
        <f>MAX(errB)</f>
        <v>1.1411593500360695E-2</v>
      </c>
      <c r="D5" t="s">
        <v>67</v>
      </c>
    </row>
    <row r="6" spans="1:4" x14ac:dyDescent="0.25">
      <c r="A6" t="s">
        <v>68</v>
      </c>
      <c r="B6" s="8">
        <f>SQRT(SUMSQ(errA)/COUNT(errA))</f>
        <v>8.371080532134789E-16</v>
      </c>
      <c r="C6" s="8">
        <f>SQRT(SUMSQ(errB)/COUNT(errB))</f>
        <v>5.8207418595205345E-3</v>
      </c>
      <c r="D6" t="s">
        <v>67</v>
      </c>
    </row>
    <row r="7" spans="1:4" x14ac:dyDescent="0.25">
      <c r="A7" t="s">
        <v>69</v>
      </c>
      <c r="B7">
        <f>COUNT(errA)</f>
        <v>361</v>
      </c>
      <c r="C7">
        <f>COUNT(errB)</f>
        <v>361</v>
      </c>
    </row>
    <row r="9" spans="1:4" ht="15.75" x14ac:dyDescent="0.25">
      <c r="A9" s="5" t="s">
        <v>70</v>
      </c>
    </row>
    <row r="10" spans="1:4" x14ac:dyDescent="0.25">
      <c r="A10" t="s">
        <v>71</v>
      </c>
    </row>
    <row r="11" spans="1:4" x14ac:dyDescent="0.25">
      <c r="A11" s="2" t="s">
        <v>63</v>
      </c>
      <c r="B11" s="2" t="s">
        <v>64</v>
      </c>
      <c r="C11" s="2" t="s">
        <v>65</v>
      </c>
      <c r="D11" s="2" t="s">
        <v>4</v>
      </c>
    </row>
    <row r="12" spans="1:4" x14ac:dyDescent="0.25">
      <c r="A12" t="s">
        <v>72</v>
      </c>
      <c r="B12" s="8">
        <f>rho*((dx*(SUM(INDEX(uA,ja,ib):INDEX(uA,jb,ib))-0.5*(INDEX(uA,ja,ib)+INDEX(uA,jb,ib))))-(dx*(SUM(INDEX(uA,ja,ia):INDEX(uA,jb,ia))-0.5*(INDEX(uA,ja,ia)+INDEX(uA,jb,ia))))+(dx*(SUM(INDEX(vA,jb,ia):INDEX(vA,jb,ib))-0.5*(INDEX(vA,jb,ia)+INDEX(vA,jb,ib))))-(dx*(SUM(INDEX(vA,ja,ia):INDEX(vA,ja,ib))-0.5*(INDEX(vA,ja,ia)+INDEX(vA,ja,ib)))))</f>
        <v>1.3877787807814457E-17</v>
      </c>
      <c r="C12" s="8">
        <f>rho*((dx*(SUM(INDEX(uB,ja,ib):INDEX(uB,jb,ib))-0.5*(INDEX(uB,ja,ib)+INDEX(uB,jb,ib))))-(dx*(SUM(INDEX(uB,ja,ia):INDEX(uB,jb,ia))-0.5*(INDEX(uB,ja,ia)+INDEX(uB,jb,ia))))+(dx*(SUM(INDEX(vB,jb,ia):INDEX(vB,jb,ib))-0.5*(INDEX(vB,jb,ia)+INDEX(vB,jb,ib))))-(dx*(SUM(INDEX(vB,ja,ia):INDEX(vB,ja,ib))-0.5*(INDEX(vB,ja,ia)+INDEX(vB,ja,ib)))))</f>
        <v>0.29322760135109915</v>
      </c>
      <c r="D12" t="s">
        <v>73</v>
      </c>
    </row>
    <row r="13" spans="1:4" x14ac:dyDescent="0.25">
      <c r="A13" t="s">
        <v>74</v>
      </c>
      <c r="B13" s="8">
        <f>rho*dx*dx*(SUM(INDEX(DA,ja,ia):INDEX(DA,jb,ib))-0.5*(SUM(INDEX(DA,ja,ia):INDEX(DA,ja,ib))+SUM(INDEX(DA,jb,ia):INDEX(DA,jb,ib))+SUM(INDEX(DA,ja,ia):INDEX(DA,jb,ia))+SUM(INDEX(DA,ja,ib):INDEX(DA,jb,ib)))+0.25*(INDEX(DA,ja,ia)+INDEX(DA,ja,ib)+INDEX(DA,jb,ia)+INDEX(DA,jb,ib)))</f>
        <v>-8.3264782988849597E-18</v>
      </c>
      <c r="C13" s="8">
        <f>rho*dx*dx*(SUM(INDEX(DB,ja,ia):INDEX(DB,jb,ib))-0.5*(SUM(INDEX(DB,ja,ia):INDEX(DB,ja,ib))+SUM(INDEX(DB,jb,ia):INDEX(DB,jb,ib))+SUM(INDEX(DB,ja,ia):INDEX(DB,jb,ia))+SUM(INDEX(DB,ja,ib):INDEX(DB,jb,ib)))+0.25*(INDEX(DB,ja,ia)+INDEX(DB,ja,ib)+INDEX(DB,jb,ia)+INDEX(DB,jb,ib)))</f>
        <v>0.29159004633355967</v>
      </c>
      <c r="D13" t="s">
        <v>73</v>
      </c>
    </row>
    <row r="14" spans="1:4" x14ac:dyDescent="0.25">
      <c r="A14" t="s">
        <v>75</v>
      </c>
      <c r="B14" s="8">
        <f>ABS(B12-B13)</f>
        <v>2.2204266106699415E-17</v>
      </c>
      <c r="C14" s="8">
        <f>ABS(C12-C13)</f>
        <v>1.6375550175394826E-3</v>
      </c>
      <c r="D14" t="s">
        <v>73</v>
      </c>
    </row>
    <row r="15" spans="1:4" x14ac:dyDescent="0.25">
      <c r="A15" t="s">
        <v>76</v>
      </c>
      <c r="B15" s="8" t="str">
        <f>IF(ABS(B13)&lt;0.000000000001,"-",B14/ABS(B13))</f>
        <v>-</v>
      </c>
      <c r="C15" s="8">
        <f>IF(ABS(C13)&lt;0.000000000001,"-",C14/ABS(C13))</f>
        <v>5.6159496461900089E-3</v>
      </c>
      <c r="D15" t="s">
        <v>10</v>
      </c>
    </row>
    <row r="17" spans="1:6" ht="15.75" x14ac:dyDescent="0.25">
      <c r="A17" s="5" t="s">
        <v>77</v>
      </c>
    </row>
    <row r="18" spans="1:6" x14ac:dyDescent="0.25">
      <c r="A18" t="s">
        <v>78</v>
      </c>
    </row>
    <row r="19" spans="1:6" x14ac:dyDescent="0.25">
      <c r="A19" s="2" t="s">
        <v>9</v>
      </c>
      <c r="B19" s="2" t="s">
        <v>79</v>
      </c>
      <c r="C19" s="2" t="s">
        <v>80</v>
      </c>
      <c r="D19" s="2" t="s">
        <v>81</v>
      </c>
      <c r="E19" s="2" t="s">
        <v>82</v>
      </c>
      <c r="F19" s="2" t="s">
        <v>83</v>
      </c>
    </row>
    <row r="20" spans="1:6" x14ac:dyDescent="0.25">
      <c r="A20">
        <f>N_3</f>
        <v>6</v>
      </c>
      <c r="B20" s="4">
        <f>dx_3</f>
        <v>0.16666666666666666</v>
      </c>
      <c r="C20" s="8">
        <f>MAX(err_3)</f>
        <v>9.6709580896453762E-2</v>
      </c>
      <c r="D20" s="8">
        <f>SQRT(SUMSQ(err_3)/COUNT(err_3))</f>
        <v>6.3814946593376082E-2</v>
      </c>
    </row>
    <row r="21" spans="1:6" x14ac:dyDescent="0.25">
      <c r="A21">
        <f>N_2</f>
        <v>11</v>
      </c>
      <c r="B21" s="4">
        <f>dx_2</f>
        <v>9.0909090909090912E-2</v>
      </c>
      <c r="C21" s="8">
        <f>MAX(err_2)</f>
        <v>3.8690767879980381E-2</v>
      </c>
      <c r="D21" s="8">
        <f>SQRT(SUMSQ(err_2)/COUNT(err_2))</f>
        <v>2.0778203616414557E-2</v>
      </c>
      <c r="E21" s="9">
        <f>LN(C20/C21)/LN(B20/B21)</f>
        <v>1.5113963821443888</v>
      </c>
      <c r="F21" s="9">
        <f>LN(D20/D21)/LN(B20/B21)</f>
        <v>1.8512070970090408</v>
      </c>
    </row>
    <row r="22" spans="1:6" x14ac:dyDescent="0.25">
      <c r="A22">
        <f>N</f>
        <v>21</v>
      </c>
      <c r="B22" s="4">
        <f>dx</f>
        <v>4.7619047619047616E-2</v>
      </c>
      <c r="C22" s="8">
        <f>MAX(errB)</f>
        <v>1.1411593500360695E-2</v>
      </c>
      <c r="D22" s="8">
        <f>SQRT(SUMSQ(errB)/COUNT(errB))</f>
        <v>5.8207418595205345E-3</v>
      </c>
      <c r="E22" s="9">
        <f>LN(C21/C22)/LN(B21/B22)</f>
        <v>1.8882151406313226</v>
      </c>
      <c r="F22" s="9">
        <f>LN(D21/D22)/LN(B21/B22)</f>
        <v>1.9678678570081962</v>
      </c>
    </row>
    <row r="24" spans="1:6" x14ac:dyDescent="0.25">
      <c r="A24" t="s">
        <v>84</v>
      </c>
    </row>
    <row r="45" spans="1:24" ht="15.75" x14ac:dyDescent="0.25">
      <c r="A45" s="5" t="s">
        <v>85</v>
      </c>
    </row>
    <row r="46" spans="1:24" x14ac:dyDescent="0.25">
      <c r="A46" s="2" t="s">
        <v>48</v>
      </c>
      <c r="D46" s="2">
        <v>1</v>
      </c>
      <c r="E46" s="2">
        <v>2</v>
      </c>
      <c r="F46" s="2">
        <v>3</v>
      </c>
      <c r="G46" s="2">
        <v>4</v>
      </c>
      <c r="H46" s="2">
        <v>5</v>
      </c>
      <c r="I46" s="2">
        <v>6</v>
      </c>
      <c r="J46" s="2">
        <v>7</v>
      </c>
      <c r="K46" s="2">
        <v>8</v>
      </c>
      <c r="L46" s="2">
        <v>9</v>
      </c>
      <c r="M46" s="2">
        <v>10</v>
      </c>
      <c r="N46" s="2">
        <v>11</v>
      </c>
      <c r="O46" s="2">
        <v>12</v>
      </c>
      <c r="P46" s="2">
        <v>13</v>
      </c>
      <c r="Q46" s="2">
        <v>14</v>
      </c>
      <c r="R46" s="2">
        <v>15</v>
      </c>
      <c r="S46" s="2">
        <v>16</v>
      </c>
      <c r="T46" s="2">
        <v>17</v>
      </c>
      <c r="U46" s="2">
        <v>18</v>
      </c>
      <c r="V46" s="2">
        <v>19</v>
      </c>
      <c r="W46" s="2">
        <v>20</v>
      </c>
      <c r="X46" s="2">
        <v>21</v>
      </c>
    </row>
    <row r="47" spans="1:24" x14ac:dyDescent="0.25">
      <c r="A47" s="2" t="s">
        <v>49</v>
      </c>
      <c r="D47" s="4">
        <f>IF(1&lt;=N,(1-0.5)*dx,"")</f>
        <v>2.3809523809523808E-2</v>
      </c>
      <c r="E47" s="4">
        <f>IF(2&lt;=N,(2-0.5)*dx,"")</f>
        <v>7.1428571428571425E-2</v>
      </c>
      <c r="F47" s="4">
        <f>IF(3&lt;=N,(3-0.5)*dx,"")</f>
        <v>0.11904761904761904</v>
      </c>
      <c r="G47" s="4">
        <f>IF(4&lt;=N,(4-0.5)*dx,"")</f>
        <v>0.16666666666666666</v>
      </c>
      <c r="H47" s="4">
        <f>IF(5&lt;=N,(5-0.5)*dx,"")</f>
        <v>0.21428571428571427</v>
      </c>
      <c r="I47" s="4">
        <f>IF(6&lt;=N,(6-0.5)*dx,"")</f>
        <v>0.26190476190476186</v>
      </c>
      <c r="J47" s="4">
        <f>IF(7&lt;=N,(7-0.5)*dx,"")</f>
        <v>0.30952380952380953</v>
      </c>
      <c r="K47" s="4">
        <f>IF(8&lt;=N,(8-0.5)*dx,"")</f>
        <v>0.3571428571428571</v>
      </c>
      <c r="L47" s="4">
        <f>IF(9&lt;=N,(9-0.5)*dx,"")</f>
        <v>0.40476190476190477</v>
      </c>
      <c r="M47" s="4">
        <f>IF(10&lt;=N,(10-0.5)*dx,"")</f>
        <v>0.45238095238095233</v>
      </c>
      <c r="N47" s="4">
        <f>IF(11&lt;=N,(11-0.5)*dx,"")</f>
        <v>0.5</v>
      </c>
      <c r="O47" s="4">
        <f>IF(12&lt;=N,(12-0.5)*dx,"")</f>
        <v>0.54761904761904756</v>
      </c>
      <c r="P47" s="4">
        <f>IF(13&lt;=N,(13-0.5)*dx,"")</f>
        <v>0.59523809523809523</v>
      </c>
      <c r="Q47" s="4">
        <f>IF(14&lt;=N,(14-0.5)*dx,"")</f>
        <v>0.64285714285714279</v>
      </c>
      <c r="R47" s="4">
        <f>IF(15&lt;=N,(15-0.5)*dx,"")</f>
        <v>0.69047619047619047</v>
      </c>
      <c r="S47" s="4">
        <f>IF(16&lt;=N,(16-0.5)*dx,"")</f>
        <v>0.73809523809523803</v>
      </c>
      <c r="T47" s="4">
        <f>IF(17&lt;=N,(17-0.5)*dx,"")</f>
        <v>0.7857142857142857</v>
      </c>
      <c r="U47" s="4">
        <f>IF(18&lt;=N,(18-0.5)*dx,"")</f>
        <v>0.83333333333333326</v>
      </c>
      <c r="V47" s="4">
        <f>IF(19&lt;=N,(19-0.5)*dx,"")</f>
        <v>0.88095238095238093</v>
      </c>
      <c r="W47" s="4">
        <f>IF(20&lt;=N,(20-0.5)*dx,"")</f>
        <v>0.92857142857142849</v>
      </c>
      <c r="X47" s="4">
        <f>IF(21&lt;=N,(21-0.5)*dx,"")</f>
        <v>0.97619047619047616</v>
      </c>
    </row>
    <row r="48" spans="1:24" x14ac:dyDescent="0.25">
      <c r="A48" s="2" t="s">
        <v>50</v>
      </c>
      <c r="B48" s="2" t="s">
        <v>51</v>
      </c>
    </row>
    <row r="49" spans="1:24" x14ac:dyDescent="0.25">
      <c r="A49" s="2">
        <v>1</v>
      </c>
      <c r="B49" s="4">
        <f>IF(1&lt;=N,(1-0.5)*dx,"")</f>
        <v>2.3809523809523808E-2</v>
      </c>
      <c r="D49" s="8" t="str">
        <f>IF(COUNT(Solver!D64)&lt;1,"",ABS(Solver!D64-Analytical!D8))</f>
        <v/>
      </c>
      <c r="E49" s="8" t="str">
        <f>IF(COUNT(Solver!E64)&lt;1,"",ABS(Solver!E64-Analytical!E8))</f>
        <v/>
      </c>
      <c r="F49" s="8" t="str">
        <f>IF(COUNT(Solver!F64)&lt;1,"",ABS(Solver!F64-Analytical!F8))</f>
        <v/>
      </c>
      <c r="G49" s="8" t="str">
        <f>IF(COUNT(Solver!G64)&lt;1,"",ABS(Solver!G64-Analytical!G8))</f>
        <v/>
      </c>
      <c r="H49" s="8" t="str">
        <f>IF(COUNT(Solver!H64)&lt;1,"",ABS(Solver!H64-Analytical!H8))</f>
        <v/>
      </c>
      <c r="I49" s="8" t="str">
        <f>IF(COUNT(Solver!I64)&lt;1,"",ABS(Solver!I64-Analytical!I8))</f>
        <v/>
      </c>
      <c r="J49" s="8" t="str">
        <f>IF(COUNT(Solver!J64)&lt;1,"",ABS(Solver!J64-Analytical!J8))</f>
        <v/>
      </c>
      <c r="K49" s="8" t="str">
        <f>IF(COUNT(Solver!K64)&lt;1,"",ABS(Solver!K64-Analytical!K8))</f>
        <v/>
      </c>
      <c r="L49" s="8" t="str">
        <f>IF(COUNT(Solver!L64)&lt;1,"",ABS(Solver!L64-Analytical!L8))</f>
        <v/>
      </c>
      <c r="M49" s="8" t="str">
        <f>IF(COUNT(Solver!M64)&lt;1,"",ABS(Solver!M64-Analytical!M8))</f>
        <v/>
      </c>
      <c r="N49" s="8" t="str">
        <f>IF(COUNT(Solver!N64)&lt;1,"",ABS(Solver!N64-Analytical!N8))</f>
        <v/>
      </c>
      <c r="O49" s="8" t="str">
        <f>IF(COUNT(Solver!O64)&lt;1,"",ABS(Solver!O64-Analytical!O8))</f>
        <v/>
      </c>
      <c r="P49" s="8" t="str">
        <f>IF(COUNT(Solver!P64)&lt;1,"",ABS(Solver!P64-Analytical!P8))</f>
        <v/>
      </c>
      <c r="Q49" s="8" t="str">
        <f>IF(COUNT(Solver!Q64)&lt;1,"",ABS(Solver!Q64-Analytical!Q8))</f>
        <v/>
      </c>
      <c r="R49" s="8" t="str">
        <f>IF(COUNT(Solver!R64)&lt;1,"",ABS(Solver!R64-Analytical!R8))</f>
        <v/>
      </c>
      <c r="S49" s="8" t="str">
        <f>IF(COUNT(Solver!S64)&lt;1,"",ABS(Solver!S64-Analytical!S8))</f>
        <v/>
      </c>
      <c r="T49" s="8" t="str">
        <f>IF(COUNT(Solver!T64)&lt;1,"",ABS(Solver!T64-Analytical!T8))</f>
        <v/>
      </c>
      <c r="U49" s="8" t="str">
        <f>IF(COUNT(Solver!U64)&lt;1,"",ABS(Solver!U64-Analytical!U8))</f>
        <v/>
      </c>
      <c r="V49" s="8" t="str">
        <f>IF(COUNT(Solver!V64)&lt;1,"",ABS(Solver!V64-Analytical!V8))</f>
        <v/>
      </c>
      <c r="W49" s="8" t="str">
        <f>IF(COUNT(Solver!W64)&lt;1,"",ABS(Solver!W64-Analytical!W8))</f>
        <v/>
      </c>
      <c r="X49" s="8" t="str">
        <f>IF(COUNT(Solver!X64)&lt;1,"",ABS(Solver!X64-Analytical!X8))</f>
        <v/>
      </c>
    </row>
    <row r="50" spans="1:24" x14ac:dyDescent="0.25">
      <c r="A50" s="2">
        <v>2</v>
      </c>
      <c r="B50" s="4">
        <f>IF(2&lt;=N,(2-0.5)*dx,"")</f>
        <v>7.1428571428571425E-2</v>
      </c>
      <c r="D50" s="8" t="str">
        <f>IF(COUNT(Solver!D65)&lt;1,"",ABS(Solver!D65-Analytical!D9))</f>
        <v/>
      </c>
      <c r="E50" s="8">
        <f>IF(COUNT(Solver!E65)&lt;1,"",ABS(Solver!E65-Analytical!E9))</f>
        <v>0</v>
      </c>
      <c r="F50" s="8">
        <f>IF(COUNT(Solver!F65)&lt;1,"",ABS(Solver!F65-Analytical!F9))</f>
        <v>0</v>
      </c>
      <c r="G50" s="8">
        <f>IF(COUNT(Solver!G65)&lt;1,"",ABS(Solver!G65-Analytical!G9))</f>
        <v>4.4408920985006262E-16</v>
      </c>
      <c r="H50" s="8">
        <f>IF(COUNT(Solver!H65)&lt;1,"",ABS(Solver!H65-Analytical!H9))</f>
        <v>4.4408920985006262E-16</v>
      </c>
      <c r="I50" s="8">
        <f>IF(COUNT(Solver!I65)&lt;1,"",ABS(Solver!I65-Analytical!I9))</f>
        <v>4.4408920985006262E-16</v>
      </c>
      <c r="J50" s="8">
        <f>IF(COUNT(Solver!J65)&lt;1,"",ABS(Solver!J65-Analytical!J9))</f>
        <v>2.2204460492503131E-16</v>
      </c>
      <c r="K50" s="8">
        <f>IF(COUNT(Solver!K65)&lt;1,"",ABS(Solver!K65-Analytical!K9))</f>
        <v>1.5543122344752192E-15</v>
      </c>
      <c r="L50" s="8">
        <f>IF(COUNT(Solver!L65)&lt;1,"",ABS(Solver!L65-Analytical!L9))</f>
        <v>1.2212453270876722E-15</v>
      </c>
      <c r="M50" s="8">
        <f>IF(COUNT(Solver!M65)&lt;1,"",ABS(Solver!M65-Analytical!M9))</f>
        <v>4.9960036108132044E-16</v>
      </c>
      <c r="N50" s="8">
        <f>IF(COUNT(Solver!N65)&lt;1,"",ABS(Solver!N65-Analytical!N9))</f>
        <v>1.8692180473293445E-16</v>
      </c>
      <c r="O50" s="8">
        <f>IF(COUNT(Solver!O65)&lt;1,"",ABS(Solver!O65-Analytical!O9))</f>
        <v>1.5543122344752192E-15</v>
      </c>
      <c r="P50" s="8">
        <f>IF(COUNT(Solver!P65)&lt;1,"",ABS(Solver!P65-Analytical!P9))</f>
        <v>3.3306690738754696E-16</v>
      </c>
      <c r="Q50" s="8">
        <f>IF(COUNT(Solver!Q65)&lt;1,"",ABS(Solver!Q65-Analytical!Q9))</f>
        <v>0</v>
      </c>
      <c r="R50" s="8">
        <f>IF(COUNT(Solver!R65)&lt;1,"",ABS(Solver!R65-Analytical!R9))</f>
        <v>1.7763568394002505E-15</v>
      </c>
      <c r="S50" s="8">
        <f>IF(COUNT(Solver!S65)&lt;1,"",ABS(Solver!S65-Analytical!S9))</f>
        <v>4.4408920985006262E-16</v>
      </c>
      <c r="T50" s="8">
        <f>IF(COUNT(Solver!T65)&lt;1,"",ABS(Solver!T65-Analytical!T9))</f>
        <v>1.3322676295501878E-15</v>
      </c>
      <c r="U50" s="8">
        <f>IF(COUNT(Solver!U65)&lt;1,"",ABS(Solver!U65-Analytical!U9))</f>
        <v>8.8817841970012523E-16</v>
      </c>
      <c r="V50" s="8">
        <f>IF(COUNT(Solver!V65)&lt;1,"",ABS(Solver!V65-Analytical!V9))</f>
        <v>1.7763568394002505E-15</v>
      </c>
      <c r="W50" s="8">
        <f>IF(COUNT(Solver!W65)&lt;1,"",ABS(Solver!W65-Analytical!W9))</f>
        <v>1.7763568394002505E-15</v>
      </c>
      <c r="X50" s="8" t="str">
        <f>IF(COUNT(Solver!X65)&lt;1,"",ABS(Solver!X65-Analytical!X9))</f>
        <v/>
      </c>
    </row>
    <row r="51" spans="1:24" x14ac:dyDescent="0.25">
      <c r="A51" s="2">
        <v>3</v>
      </c>
      <c r="B51" s="4">
        <f>IF(3&lt;=N,(3-0.5)*dx,"")</f>
        <v>0.11904761904761904</v>
      </c>
      <c r="D51" s="8" t="str">
        <f>IF(COUNT(Solver!D66)&lt;1,"",ABS(Solver!D66-Analytical!D10))</f>
        <v/>
      </c>
      <c r="E51" s="8">
        <f>IF(COUNT(Solver!E66)&lt;1,"",ABS(Solver!E66-Analytical!E10))</f>
        <v>0</v>
      </c>
      <c r="F51" s="8">
        <f>IF(COUNT(Solver!F66)&lt;1,"",ABS(Solver!F66-Analytical!F10))</f>
        <v>0</v>
      </c>
      <c r="G51" s="8">
        <f>IF(COUNT(Solver!G66)&lt;1,"",ABS(Solver!G66-Analytical!G10))</f>
        <v>4.4408920985006262E-16</v>
      </c>
      <c r="H51" s="8">
        <f>IF(COUNT(Solver!H66)&lt;1,"",ABS(Solver!H66-Analytical!H10))</f>
        <v>4.4408920985006262E-16</v>
      </c>
      <c r="I51" s="8">
        <f>IF(COUNT(Solver!I66)&lt;1,"",ABS(Solver!I66-Analytical!I10))</f>
        <v>2.2204460492503131E-16</v>
      </c>
      <c r="J51" s="8">
        <f>IF(COUNT(Solver!J66)&lt;1,"",ABS(Solver!J66-Analytical!J10))</f>
        <v>8.8817841970012523E-16</v>
      </c>
      <c r="K51" s="8">
        <f>IF(COUNT(Solver!K66)&lt;1,"",ABS(Solver!K66-Analytical!K10))</f>
        <v>6.6613381477509392E-16</v>
      </c>
      <c r="L51" s="8">
        <f>IF(COUNT(Solver!L66)&lt;1,"",ABS(Solver!L66-Analytical!L10))</f>
        <v>5.5511151231257827E-16</v>
      </c>
      <c r="M51" s="8">
        <f>IF(COUNT(Solver!M66)&lt;1,"",ABS(Solver!M66-Analytical!M10))</f>
        <v>3.8857805861880479E-16</v>
      </c>
      <c r="N51" s="8">
        <f>IF(COUNT(Solver!N66)&lt;1,"",ABS(Solver!N66-Analytical!N10))</f>
        <v>1.7847535074227684E-16</v>
      </c>
      <c r="O51" s="8">
        <f>IF(COUNT(Solver!O66)&lt;1,"",ABS(Solver!O66-Analytical!O10))</f>
        <v>5.5511151231257827E-16</v>
      </c>
      <c r="P51" s="8">
        <f>IF(COUNT(Solver!P66)&lt;1,"",ABS(Solver!P66-Analytical!P10))</f>
        <v>3.3306690738754696E-16</v>
      </c>
      <c r="Q51" s="8">
        <f>IF(COUNT(Solver!Q66)&lt;1,"",ABS(Solver!Q66-Analytical!Q10))</f>
        <v>1.1102230246251565E-15</v>
      </c>
      <c r="R51" s="8">
        <f>IF(COUNT(Solver!R66)&lt;1,"",ABS(Solver!R66-Analytical!R10))</f>
        <v>4.4408920985006262E-16</v>
      </c>
      <c r="S51" s="8">
        <f>IF(COUNT(Solver!S66)&lt;1,"",ABS(Solver!S66-Analytical!S10))</f>
        <v>0</v>
      </c>
      <c r="T51" s="8">
        <f>IF(COUNT(Solver!T66)&lt;1,"",ABS(Solver!T66-Analytical!T10))</f>
        <v>2.2204460492503131E-15</v>
      </c>
      <c r="U51" s="8">
        <f>IF(COUNT(Solver!U66)&lt;1,"",ABS(Solver!U66-Analytical!U10))</f>
        <v>1.3322676295501878E-15</v>
      </c>
      <c r="V51" s="8">
        <f>IF(COUNT(Solver!V66)&lt;1,"",ABS(Solver!V66-Analytical!V10))</f>
        <v>4.4408920985006262E-16</v>
      </c>
      <c r="W51" s="8">
        <f>IF(COUNT(Solver!W66)&lt;1,"",ABS(Solver!W66-Analytical!W10))</f>
        <v>1.3322676295501878E-15</v>
      </c>
      <c r="X51" s="8" t="str">
        <f>IF(COUNT(Solver!X66)&lt;1,"",ABS(Solver!X66-Analytical!X10))</f>
        <v/>
      </c>
    </row>
    <row r="52" spans="1:24" x14ac:dyDescent="0.25">
      <c r="A52" s="2">
        <v>4</v>
      </c>
      <c r="B52" s="4">
        <f>IF(4&lt;=N,(4-0.5)*dx,"")</f>
        <v>0.16666666666666666</v>
      </c>
      <c r="D52" s="8" t="str">
        <f>IF(COUNT(Solver!D67)&lt;1,"",ABS(Solver!D67-Analytical!D11))</f>
        <v/>
      </c>
      <c r="E52" s="8">
        <f>IF(COUNT(Solver!E67)&lt;1,"",ABS(Solver!E67-Analytical!E11))</f>
        <v>4.4408920985006262E-16</v>
      </c>
      <c r="F52" s="8">
        <f>IF(COUNT(Solver!F67)&lt;1,"",ABS(Solver!F67-Analytical!F11))</f>
        <v>4.4408920985006262E-16</v>
      </c>
      <c r="G52" s="8">
        <f>IF(COUNT(Solver!G67)&lt;1,"",ABS(Solver!G67-Analytical!G11))</f>
        <v>0</v>
      </c>
      <c r="H52" s="8">
        <f>IF(COUNT(Solver!H67)&lt;1,"",ABS(Solver!H67-Analytical!H11))</f>
        <v>0</v>
      </c>
      <c r="I52" s="8">
        <f>IF(COUNT(Solver!I67)&lt;1,"",ABS(Solver!I67-Analytical!I11))</f>
        <v>2.2204460492503131E-16</v>
      </c>
      <c r="J52" s="8">
        <f>IF(COUNT(Solver!J67)&lt;1,"",ABS(Solver!J67-Analytical!J11))</f>
        <v>8.8817841970012523E-16</v>
      </c>
      <c r="K52" s="8">
        <f>IF(COUNT(Solver!K67)&lt;1,"",ABS(Solver!K67-Analytical!K11))</f>
        <v>2.4424906541753444E-15</v>
      </c>
      <c r="L52" s="8">
        <f>IF(COUNT(Solver!L67)&lt;1,"",ABS(Solver!L67-Analytical!L11))</f>
        <v>1.1102230246251565E-16</v>
      </c>
      <c r="M52" s="8">
        <f>IF(COUNT(Solver!M67)&lt;1,"",ABS(Solver!M67-Analytical!M11))</f>
        <v>2.2204460492503131E-16</v>
      </c>
      <c r="N52" s="8">
        <f>IF(COUNT(Solver!N67)&lt;1,"",ABS(Solver!N67-Analytical!N11))</f>
        <v>1.66042052337676E-16</v>
      </c>
      <c r="O52" s="8">
        <f>IF(COUNT(Solver!O67)&lt;1,"",ABS(Solver!O67-Analytical!O11))</f>
        <v>1.0547118733938987E-15</v>
      </c>
      <c r="P52" s="8">
        <f>IF(COUNT(Solver!P67)&lt;1,"",ABS(Solver!P67-Analytical!P11))</f>
        <v>5.5511151231257827E-16</v>
      </c>
      <c r="Q52" s="8">
        <f>IF(COUNT(Solver!Q67)&lt;1,"",ABS(Solver!Q67-Analytical!Q11))</f>
        <v>2.2204460492503131E-16</v>
      </c>
      <c r="R52" s="8">
        <f>IF(COUNT(Solver!R67)&lt;1,"",ABS(Solver!R67-Analytical!R11))</f>
        <v>1.1102230246251565E-15</v>
      </c>
      <c r="S52" s="8">
        <f>IF(COUNT(Solver!S67)&lt;1,"",ABS(Solver!S67-Analytical!S11))</f>
        <v>2.2204460492503131E-16</v>
      </c>
      <c r="T52" s="8">
        <f>IF(COUNT(Solver!T67)&lt;1,"",ABS(Solver!T67-Analytical!T11))</f>
        <v>1.3322676295501878E-15</v>
      </c>
      <c r="U52" s="8">
        <f>IF(COUNT(Solver!U67)&lt;1,"",ABS(Solver!U67-Analytical!U11))</f>
        <v>1.3322676295501878E-15</v>
      </c>
      <c r="V52" s="8">
        <f>IF(COUNT(Solver!V67)&lt;1,"",ABS(Solver!V67-Analytical!V11))</f>
        <v>1.3322676295501878E-15</v>
      </c>
      <c r="W52" s="8">
        <f>IF(COUNT(Solver!W67)&lt;1,"",ABS(Solver!W67-Analytical!W11))</f>
        <v>1.3322676295501878E-15</v>
      </c>
      <c r="X52" s="8" t="str">
        <f>IF(COUNT(Solver!X67)&lt;1,"",ABS(Solver!X67-Analytical!X11))</f>
        <v/>
      </c>
    </row>
    <row r="53" spans="1:24" x14ac:dyDescent="0.25">
      <c r="A53" s="2">
        <v>5</v>
      </c>
      <c r="B53" s="4">
        <f>IF(5&lt;=N,(5-0.5)*dx,"")</f>
        <v>0.21428571428571427</v>
      </c>
      <c r="D53" s="8" t="str">
        <f>IF(COUNT(Solver!D68)&lt;1,"",ABS(Solver!D68-Analytical!D12))</f>
        <v/>
      </c>
      <c r="E53" s="8">
        <f>IF(COUNT(Solver!E68)&lt;1,"",ABS(Solver!E68-Analytical!E12))</f>
        <v>4.4408920985006262E-16</v>
      </c>
      <c r="F53" s="8">
        <f>IF(COUNT(Solver!F68)&lt;1,"",ABS(Solver!F68-Analytical!F12))</f>
        <v>4.4408920985006262E-16</v>
      </c>
      <c r="G53" s="8">
        <f>IF(COUNT(Solver!G68)&lt;1,"",ABS(Solver!G68-Analytical!G12))</f>
        <v>0</v>
      </c>
      <c r="H53" s="8">
        <f>IF(COUNT(Solver!H68)&lt;1,"",ABS(Solver!H68-Analytical!H12))</f>
        <v>0</v>
      </c>
      <c r="I53" s="8">
        <f>IF(COUNT(Solver!I68)&lt;1,"",ABS(Solver!I68-Analytical!I12))</f>
        <v>1.3322676295501878E-15</v>
      </c>
      <c r="J53" s="8">
        <f>IF(COUNT(Solver!J68)&lt;1,"",ABS(Solver!J68-Analytical!J12))</f>
        <v>6.6613381477509392E-16</v>
      </c>
      <c r="K53" s="8">
        <f>IF(COUNT(Solver!K68)&lt;1,"",ABS(Solver!K68-Analytical!K12))</f>
        <v>1.7763568394002505E-15</v>
      </c>
      <c r="L53" s="8">
        <f>IF(COUNT(Solver!L68)&lt;1,"",ABS(Solver!L68-Analytical!L12))</f>
        <v>5.5511151231257827E-16</v>
      </c>
      <c r="M53" s="8">
        <f>IF(COUNT(Solver!M68)&lt;1,"",ABS(Solver!M68-Analytical!M12))</f>
        <v>0</v>
      </c>
      <c r="N53" s="8">
        <f>IF(COUNT(Solver!N68)&lt;1,"",ABS(Solver!N68-Analytical!N12))</f>
        <v>1.4989964886008359E-16</v>
      </c>
      <c r="O53" s="8">
        <f>IF(COUNT(Solver!O68)&lt;1,"",ABS(Solver!O68-Analytical!O12))</f>
        <v>7.2164496600635175E-16</v>
      </c>
      <c r="P53" s="8">
        <f>IF(COUNT(Solver!P68)&lt;1,"",ABS(Solver!P68-Analytical!P12))</f>
        <v>2.2204460492503131E-16</v>
      </c>
      <c r="Q53" s="8">
        <f>IF(COUNT(Solver!Q68)&lt;1,"",ABS(Solver!Q68-Analytical!Q12))</f>
        <v>4.4408920985006262E-16</v>
      </c>
      <c r="R53" s="8">
        <f>IF(COUNT(Solver!R68)&lt;1,"",ABS(Solver!R68-Analytical!R12))</f>
        <v>6.6613381477509392E-16</v>
      </c>
      <c r="S53" s="8">
        <f>IF(COUNT(Solver!S68)&lt;1,"",ABS(Solver!S68-Analytical!S12))</f>
        <v>6.6613381477509392E-16</v>
      </c>
      <c r="T53" s="8">
        <f>IF(COUNT(Solver!T68)&lt;1,"",ABS(Solver!T68-Analytical!T12))</f>
        <v>1.1102230246251565E-15</v>
      </c>
      <c r="U53" s="8">
        <f>IF(COUNT(Solver!U68)&lt;1,"",ABS(Solver!U68-Analytical!U12))</f>
        <v>0</v>
      </c>
      <c r="V53" s="8">
        <f>IF(COUNT(Solver!V68)&lt;1,"",ABS(Solver!V68-Analytical!V12))</f>
        <v>8.8817841970012523E-16</v>
      </c>
      <c r="W53" s="8">
        <f>IF(COUNT(Solver!W68)&lt;1,"",ABS(Solver!W68-Analytical!W12))</f>
        <v>8.8817841970012523E-16</v>
      </c>
      <c r="X53" s="8" t="str">
        <f>IF(COUNT(Solver!X68)&lt;1,"",ABS(Solver!X68-Analytical!X12))</f>
        <v/>
      </c>
    </row>
    <row r="54" spans="1:24" x14ac:dyDescent="0.25">
      <c r="A54" s="2">
        <v>6</v>
      </c>
      <c r="B54" s="4">
        <f>IF(6&lt;=N,(6-0.5)*dx,"")</f>
        <v>0.26190476190476186</v>
      </c>
      <c r="D54" s="8" t="str">
        <f>IF(COUNT(Solver!D69)&lt;1,"",ABS(Solver!D69-Analytical!D13))</f>
        <v/>
      </c>
      <c r="E54" s="8">
        <f>IF(COUNT(Solver!E69)&lt;1,"",ABS(Solver!E69-Analytical!E13))</f>
        <v>4.4408920985006262E-16</v>
      </c>
      <c r="F54" s="8">
        <f>IF(COUNT(Solver!F69)&lt;1,"",ABS(Solver!F69-Analytical!F13))</f>
        <v>2.2204460492503131E-16</v>
      </c>
      <c r="G54" s="8">
        <f>IF(COUNT(Solver!G69)&lt;1,"",ABS(Solver!G69-Analytical!G13))</f>
        <v>2.2204460492503131E-16</v>
      </c>
      <c r="H54" s="8">
        <f>IF(COUNT(Solver!H69)&lt;1,"",ABS(Solver!H69-Analytical!H13))</f>
        <v>1.3322676295501878E-15</v>
      </c>
      <c r="I54" s="8">
        <f>IF(COUNT(Solver!I69)&lt;1,"",ABS(Solver!I69-Analytical!I13))</f>
        <v>0</v>
      </c>
      <c r="J54" s="8">
        <f>IF(COUNT(Solver!J69)&lt;1,"",ABS(Solver!J69-Analytical!J13))</f>
        <v>6.6613381477509392E-16</v>
      </c>
      <c r="K54" s="8">
        <f>IF(COUNT(Solver!K69)&lt;1,"",ABS(Solver!K69-Analytical!K13))</f>
        <v>1.1102230246251565E-15</v>
      </c>
      <c r="L54" s="8">
        <f>IF(COUNT(Solver!L69)&lt;1,"",ABS(Solver!L69-Analytical!L13))</f>
        <v>2.2204460492503131E-16</v>
      </c>
      <c r="M54" s="8">
        <f>IF(COUNT(Solver!M69)&lt;1,"",ABS(Solver!M69-Analytical!M13))</f>
        <v>3.3306690738754696E-16</v>
      </c>
      <c r="N54" s="8">
        <f>IF(COUNT(Solver!N69)&lt;1,"",ABS(Solver!N69-Analytical!N13))</f>
        <v>1.3040873492867022E-16</v>
      </c>
      <c r="O54" s="8">
        <f>IF(COUNT(Solver!O69)&lt;1,"",ABS(Solver!O69-Analytical!O13))</f>
        <v>4.4408920985006262E-16</v>
      </c>
      <c r="P54" s="8">
        <f>IF(COUNT(Solver!P69)&lt;1,"",ABS(Solver!P69-Analytical!P13))</f>
        <v>2.2204460492503131E-16</v>
      </c>
      <c r="Q54" s="8">
        <f>IF(COUNT(Solver!Q69)&lt;1,"",ABS(Solver!Q69-Analytical!Q13))</f>
        <v>0</v>
      </c>
      <c r="R54" s="8">
        <f>IF(COUNT(Solver!R69)&lt;1,"",ABS(Solver!R69-Analytical!R13))</f>
        <v>1.1102230246251565E-15</v>
      </c>
      <c r="S54" s="8">
        <f>IF(COUNT(Solver!S69)&lt;1,"",ABS(Solver!S69-Analytical!S13))</f>
        <v>6.6613381477509392E-16</v>
      </c>
      <c r="T54" s="8">
        <f>IF(COUNT(Solver!T69)&lt;1,"",ABS(Solver!T69-Analytical!T13))</f>
        <v>2.4424906541753444E-15</v>
      </c>
      <c r="U54" s="8">
        <f>IF(COUNT(Solver!U69)&lt;1,"",ABS(Solver!U69-Analytical!U13))</f>
        <v>1.7763568394002505E-15</v>
      </c>
      <c r="V54" s="8">
        <f>IF(COUNT(Solver!V69)&lt;1,"",ABS(Solver!V69-Analytical!V13))</f>
        <v>1.1102230246251565E-15</v>
      </c>
      <c r="W54" s="8">
        <f>IF(COUNT(Solver!W69)&lt;1,"",ABS(Solver!W69-Analytical!W13))</f>
        <v>8.8817841970012523E-16</v>
      </c>
      <c r="X54" s="8" t="str">
        <f>IF(COUNT(Solver!X69)&lt;1,"",ABS(Solver!X69-Analytical!X13))</f>
        <v/>
      </c>
    </row>
    <row r="55" spans="1:24" x14ac:dyDescent="0.25">
      <c r="A55" s="2">
        <v>7</v>
      </c>
      <c r="B55" s="4">
        <f>IF(7&lt;=N,(7-0.5)*dx,"")</f>
        <v>0.30952380952380953</v>
      </c>
      <c r="D55" s="8" t="str">
        <f>IF(COUNT(Solver!D70)&lt;1,"",ABS(Solver!D70-Analytical!D14))</f>
        <v/>
      </c>
      <c r="E55" s="8">
        <f>IF(COUNT(Solver!E70)&lt;1,"",ABS(Solver!E70-Analytical!E14))</f>
        <v>2.2204460492503131E-16</v>
      </c>
      <c r="F55" s="8">
        <f>IF(COUNT(Solver!F70)&lt;1,"",ABS(Solver!F70-Analytical!F14))</f>
        <v>8.8817841970012523E-16</v>
      </c>
      <c r="G55" s="8">
        <f>IF(COUNT(Solver!G70)&lt;1,"",ABS(Solver!G70-Analytical!G14))</f>
        <v>8.8817841970012523E-16</v>
      </c>
      <c r="H55" s="8">
        <f>IF(COUNT(Solver!H70)&lt;1,"",ABS(Solver!H70-Analytical!H14))</f>
        <v>6.6613381477509392E-16</v>
      </c>
      <c r="I55" s="8">
        <f>IF(COUNT(Solver!I70)&lt;1,"",ABS(Solver!I70-Analytical!I14))</f>
        <v>6.6613381477509392E-16</v>
      </c>
      <c r="J55" s="8">
        <f>IF(COUNT(Solver!J70)&lt;1,"",ABS(Solver!J70-Analytical!J14))</f>
        <v>0</v>
      </c>
      <c r="K55" s="8">
        <f>IF(COUNT(Solver!K70)&lt;1,"",ABS(Solver!K70-Analytical!K14))</f>
        <v>1.2212453270876722E-15</v>
      </c>
      <c r="L55" s="8">
        <f>IF(COUNT(Solver!L70)&lt;1,"",ABS(Solver!L70-Analytical!L14))</f>
        <v>0</v>
      </c>
      <c r="M55" s="8">
        <f>IF(COUNT(Solver!M70)&lt;1,"",ABS(Solver!M70-Analytical!M14))</f>
        <v>2.7755575615628914E-16</v>
      </c>
      <c r="N55" s="8">
        <f>IF(COUNT(Solver!N70)&lt;1,"",ABS(Solver!N70-Analytical!N14))</f>
        <v>1.0800470535289781E-16</v>
      </c>
      <c r="O55" s="8">
        <f>IF(COUNT(Solver!O70)&lt;1,"",ABS(Solver!O70-Analytical!O14))</f>
        <v>9.9920072216264089E-16</v>
      </c>
      <c r="P55" s="8">
        <f>IF(COUNT(Solver!P70)&lt;1,"",ABS(Solver!P70-Analytical!P14))</f>
        <v>3.3306690738754696E-16</v>
      </c>
      <c r="Q55" s="8">
        <f>IF(COUNT(Solver!Q70)&lt;1,"",ABS(Solver!Q70-Analytical!Q14))</f>
        <v>0</v>
      </c>
      <c r="R55" s="8">
        <f>IF(COUNT(Solver!R70)&lt;1,"",ABS(Solver!R70-Analytical!R14))</f>
        <v>1.7763568394002505E-15</v>
      </c>
      <c r="S55" s="8">
        <f>IF(COUNT(Solver!S70)&lt;1,"",ABS(Solver!S70-Analytical!S14))</f>
        <v>6.6613381477509392E-16</v>
      </c>
      <c r="T55" s="8">
        <f>IF(COUNT(Solver!T70)&lt;1,"",ABS(Solver!T70-Analytical!T14))</f>
        <v>1.7763568394002505E-15</v>
      </c>
      <c r="U55" s="8">
        <f>IF(COUNT(Solver!U70)&lt;1,"",ABS(Solver!U70-Analytical!U14))</f>
        <v>1.7763568394002505E-15</v>
      </c>
      <c r="V55" s="8">
        <f>IF(COUNT(Solver!V70)&lt;1,"",ABS(Solver!V70-Analytical!V14))</f>
        <v>6.6613381477509392E-16</v>
      </c>
      <c r="W55" s="8">
        <f>IF(COUNT(Solver!W70)&lt;1,"",ABS(Solver!W70-Analytical!W14))</f>
        <v>8.8817841970012523E-16</v>
      </c>
      <c r="X55" s="8" t="str">
        <f>IF(COUNT(Solver!X70)&lt;1,"",ABS(Solver!X70-Analytical!X14))</f>
        <v/>
      </c>
    </row>
    <row r="56" spans="1:24" x14ac:dyDescent="0.25">
      <c r="A56" s="2">
        <v>8</v>
      </c>
      <c r="B56" s="4">
        <f>IF(8&lt;=N,(8-0.5)*dx,"")</f>
        <v>0.3571428571428571</v>
      </c>
      <c r="D56" s="8" t="str">
        <f>IF(COUNT(Solver!D71)&lt;1,"",ABS(Solver!D71-Analytical!D15))</f>
        <v/>
      </c>
      <c r="E56" s="8">
        <f>IF(COUNT(Solver!E71)&lt;1,"",ABS(Solver!E71-Analytical!E15))</f>
        <v>1.5543122344752192E-15</v>
      </c>
      <c r="F56" s="8">
        <f>IF(COUNT(Solver!F71)&lt;1,"",ABS(Solver!F71-Analytical!F15))</f>
        <v>6.6613381477509392E-16</v>
      </c>
      <c r="G56" s="8">
        <f>IF(COUNT(Solver!G71)&lt;1,"",ABS(Solver!G71-Analytical!G15))</f>
        <v>2.4424906541753444E-15</v>
      </c>
      <c r="H56" s="8">
        <f>IF(COUNT(Solver!H71)&lt;1,"",ABS(Solver!H71-Analytical!H15))</f>
        <v>1.7763568394002505E-15</v>
      </c>
      <c r="I56" s="8">
        <f>IF(COUNT(Solver!I71)&lt;1,"",ABS(Solver!I71-Analytical!I15))</f>
        <v>1.1102230246251565E-15</v>
      </c>
      <c r="J56" s="8">
        <f>IF(COUNT(Solver!J71)&lt;1,"",ABS(Solver!J71-Analytical!J15))</f>
        <v>1.2212453270876722E-15</v>
      </c>
      <c r="K56" s="8">
        <f>IF(COUNT(Solver!K71)&lt;1,"",ABS(Solver!K71-Analytical!K15))</f>
        <v>0</v>
      </c>
      <c r="L56" s="8">
        <f>IF(COUNT(Solver!L71)&lt;1,"",ABS(Solver!L71-Analytical!L15))</f>
        <v>5.5511151231257827E-16</v>
      </c>
      <c r="M56" s="8">
        <f>IF(COUNT(Solver!M71)&lt;1,"",ABS(Solver!M71-Analytical!M15))</f>
        <v>1.3877787807814457E-16</v>
      </c>
      <c r="N56" s="8">
        <f>IF(COUNT(Solver!N71)&lt;1,"",ABS(Solver!N71-Analytical!N15))</f>
        <v>8.3188029131944805E-17</v>
      </c>
      <c r="O56" s="8">
        <f>IF(COUNT(Solver!O71)&lt;1,"",ABS(Solver!O71-Analytical!O15))</f>
        <v>4.163336342344337E-16</v>
      </c>
      <c r="P56" s="8">
        <f>IF(COUNT(Solver!P71)&lt;1,"",ABS(Solver!P71-Analytical!P15))</f>
        <v>2.7755575615628914E-16</v>
      </c>
      <c r="Q56" s="8">
        <f>IF(COUNT(Solver!Q71)&lt;1,"",ABS(Solver!Q71-Analytical!Q15))</f>
        <v>1.2212453270876722E-15</v>
      </c>
      <c r="R56" s="8">
        <f>IF(COUNT(Solver!R71)&lt;1,"",ABS(Solver!R71-Analytical!R15))</f>
        <v>1.2212453270876722E-15</v>
      </c>
      <c r="S56" s="8">
        <f>IF(COUNT(Solver!S71)&lt;1,"",ABS(Solver!S71-Analytical!S15))</f>
        <v>5.5511151231257827E-16</v>
      </c>
      <c r="T56" s="8">
        <f>IF(COUNT(Solver!T71)&lt;1,"",ABS(Solver!T71-Analytical!T15))</f>
        <v>6.6613381477509392E-16</v>
      </c>
      <c r="U56" s="8">
        <f>IF(COUNT(Solver!U71)&lt;1,"",ABS(Solver!U71-Analytical!U15))</f>
        <v>8.8817841970012523E-16</v>
      </c>
      <c r="V56" s="8">
        <f>IF(COUNT(Solver!V71)&lt;1,"",ABS(Solver!V71-Analytical!V15))</f>
        <v>0</v>
      </c>
      <c r="W56" s="8">
        <f>IF(COUNT(Solver!W71)&lt;1,"",ABS(Solver!W71-Analytical!W15))</f>
        <v>1.3322676295501878E-15</v>
      </c>
      <c r="X56" s="8" t="str">
        <f>IF(COUNT(Solver!X71)&lt;1,"",ABS(Solver!X71-Analytical!X15))</f>
        <v/>
      </c>
    </row>
    <row r="57" spans="1:24" x14ac:dyDescent="0.25">
      <c r="A57" s="2">
        <v>9</v>
      </c>
      <c r="B57" s="4">
        <f>IF(9&lt;=N,(9-0.5)*dx,"")</f>
        <v>0.40476190476190477</v>
      </c>
      <c r="D57" s="8" t="str">
        <f>IF(COUNT(Solver!D72)&lt;1,"",ABS(Solver!D72-Analytical!D16))</f>
        <v/>
      </c>
      <c r="E57" s="8">
        <f>IF(COUNT(Solver!E72)&lt;1,"",ABS(Solver!E72-Analytical!E16))</f>
        <v>1.2212453270876722E-15</v>
      </c>
      <c r="F57" s="8">
        <f>IF(COUNT(Solver!F72)&lt;1,"",ABS(Solver!F72-Analytical!F16))</f>
        <v>5.5511151231257827E-16</v>
      </c>
      <c r="G57" s="8">
        <f>IF(COUNT(Solver!G72)&lt;1,"",ABS(Solver!G72-Analytical!G16))</f>
        <v>1.1102230246251565E-16</v>
      </c>
      <c r="H57" s="8">
        <f>IF(COUNT(Solver!H72)&lt;1,"",ABS(Solver!H72-Analytical!H16))</f>
        <v>5.5511151231257827E-16</v>
      </c>
      <c r="I57" s="8">
        <f>IF(COUNT(Solver!I72)&lt;1,"",ABS(Solver!I72-Analytical!I16))</f>
        <v>2.2204460492503131E-16</v>
      </c>
      <c r="J57" s="8">
        <f>IF(COUNT(Solver!J72)&lt;1,"",ABS(Solver!J72-Analytical!J16))</f>
        <v>0</v>
      </c>
      <c r="K57" s="8">
        <f>IF(COUNT(Solver!K72)&lt;1,"",ABS(Solver!K72-Analytical!K16))</f>
        <v>5.5511151231257827E-16</v>
      </c>
      <c r="L57" s="8">
        <f>IF(COUNT(Solver!L72)&lt;1,"",ABS(Solver!L72-Analytical!L16))</f>
        <v>0</v>
      </c>
      <c r="M57" s="8">
        <f>IF(COUNT(Solver!M72)&lt;1,"",ABS(Solver!M72-Analytical!M16))</f>
        <v>0</v>
      </c>
      <c r="N57" s="8">
        <f>IF(COUNT(Solver!N72)&lt;1,"",ABS(Solver!N72-Analytical!N16))</f>
        <v>5.6513069804264376E-17</v>
      </c>
      <c r="O57" s="8">
        <f>IF(COUNT(Solver!O72)&lt;1,"",ABS(Solver!O72-Analytical!O16))</f>
        <v>2.7755575615628914E-16</v>
      </c>
      <c r="P57" s="8">
        <f>IF(COUNT(Solver!P72)&lt;1,"",ABS(Solver!P72-Analytical!P16))</f>
        <v>0</v>
      </c>
      <c r="Q57" s="8">
        <f>IF(COUNT(Solver!Q72)&lt;1,"",ABS(Solver!Q72-Analytical!Q16))</f>
        <v>2.7755575615628914E-16</v>
      </c>
      <c r="R57" s="8">
        <f>IF(COUNT(Solver!R72)&lt;1,"",ABS(Solver!R72-Analytical!R16))</f>
        <v>0</v>
      </c>
      <c r="S57" s="8">
        <f>IF(COUNT(Solver!S72)&lt;1,"",ABS(Solver!S72-Analytical!S16))</f>
        <v>3.3306690738754696E-16</v>
      </c>
      <c r="T57" s="8">
        <f>IF(COUNT(Solver!T72)&lt;1,"",ABS(Solver!T72-Analytical!T16))</f>
        <v>1.4432899320127035E-15</v>
      </c>
      <c r="U57" s="8">
        <f>IF(COUNT(Solver!U72)&lt;1,"",ABS(Solver!U72-Analytical!U16))</f>
        <v>5.5511151231257827E-16</v>
      </c>
      <c r="V57" s="8">
        <f>IF(COUNT(Solver!V72)&lt;1,"",ABS(Solver!V72-Analytical!V16))</f>
        <v>8.8817841970012523E-16</v>
      </c>
      <c r="W57" s="8">
        <f>IF(COUNT(Solver!W72)&lt;1,"",ABS(Solver!W72-Analytical!W16))</f>
        <v>1.7763568394002505E-15</v>
      </c>
      <c r="X57" s="8" t="str">
        <f>IF(COUNT(Solver!X72)&lt;1,"",ABS(Solver!X72-Analytical!X16))</f>
        <v/>
      </c>
    </row>
    <row r="58" spans="1:24" x14ac:dyDescent="0.25">
      <c r="A58" s="2">
        <v>10</v>
      </c>
      <c r="B58" s="4">
        <f>IF(10&lt;=N,(10-0.5)*dx,"")</f>
        <v>0.45238095238095233</v>
      </c>
      <c r="D58" s="8" t="str">
        <f>IF(COUNT(Solver!D73)&lt;1,"",ABS(Solver!D73-Analytical!D17))</f>
        <v/>
      </c>
      <c r="E58" s="8">
        <f>IF(COUNT(Solver!E73)&lt;1,"",ABS(Solver!E73-Analytical!E17))</f>
        <v>4.9960036108132044E-16</v>
      </c>
      <c r="F58" s="8">
        <f>IF(COUNT(Solver!F73)&lt;1,"",ABS(Solver!F73-Analytical!F17))</f>
        <v>3.8857805861880479E-16</v>
      </c>
      <c r="G58" s="8">
        <f>IF(COUNT(Solver!G73)&lt;1,"",ABS(Solver!G73-Analytical!G17))</f>
        <v>2.2204460492503131E-16</v>
      </c>
      <c r="H58" s="8">
        <f>IF(COUNT(Solver!H73)&lt;1,"",ABS(Solver!H73-Analytical!H17))</f>
        <v>0</v>
      </c>
      <c r="I58" s="8">
        <f>IF(COUNT(Solver!I73)&lt;1,"",ABS(Solver!I73-Analytical!I17))</f>
        <v>3.3306690738754696E-16</v>
      </c>
      <c r="J58" s="8">
        <f>IF(COUNT(Solver!J73)&lt;1,"",ABS(Solver!J73-Analytical!J17))</f>
        <v>2.7755575615628914E-16</v>
      </c>
      <c r="K58" s="8">
        <f>IF(COUNT(Solver!K73)&lt;1,"",ABS(Solver!K73-Analytical!K17))</f>
        <v>1.3877787807814457E-16</v>
      </c>
      <c r="L58" s="8">
        <f>IF(COUNT(Solver!L73)&lt;1,"",ABS(Solver!L73-Analytical!L17))</f>
        <v>0</v>
      </c>
      <c r="M58" s="8">
        <f>IF(COUNT(Solver!M73)&lt;1,"",ABS(Solver!M73-Analytical!M17))</f>
        <v>0</v>
      </c>
      <c r="N58" s="8">
        <f>IF(COUNT(Solver!N73)&lt;1,"",ABS(Solver!N73-Analytical!N17))</f>
        <v>2.85757018821933E-17</v>
      </c>
      <c r="O58" s="8">
        <f>IF(COUNT(Solver!O73)&lt;1,"",ABS(Solver!O73-Analytical!O17))</f>
        <v>2.9143354396410359E-16</v>
      </c>
      <c r="P58" s="8">
        <f>IF(COUNT(Solver!P73)&lt;1,"",ABS(Solver!P73-Analytical!P17))</f>
        <v>0</v>
      </c>
      <c r="Q58" s="8">
        <f>IF(COUNT(Solver!Q73)&lt;1,"",ABS(Solver!Q73-Analytical!Q17))</f>
        <v>0</v>
      </c>
      <c r="R58" s="8">
        <f>IF(COUNT(Solver!R73)&lt;1,"",ABS(Solver!R73-Analytical!R17))</f>
        <v>7.2164496600635175E-16</v>
      </c>
      <c r="S58" s="8">
        <f>IF(COUNT(Solver!S73)&lt;1,"",ABS(Solver!S73-Analytical!S17))</f>
        <v>0</v>
      </c>
      <c r="T58" s="8">
        <f>IF(COUNT(Solver!T73)&lt;1,"",ABS(Solver!T73-Analytical!T17))</f>
        <v>2.7755575615628914E-16</v>
      </c>
      <c r="U58" s="8">
        <f>IF(COUNT(Solver!U73)&lt;1,"",ABS(Solver!U73-Analytical!U17))</f>
        <v>4.9960036108132044E-16</v>
      </c>
      <c r="V58" s="8">
        <f>IF(COUNT(Solver!V73)&lt;1,"",ABS(Solver!V73-Analytical!V17))</f>
        <v>3.3306690738754696E-16</v>
      </c>
      <c r="W58" s="8">
        <f>IF(COUNT(Solver!W73)&lt;1,"",ABS(Solver!W73-Analytical!W17))</f>
        <v>7.2164496600635175E-16</v>
      </c>
      <c r="X58" s="8" t="str">
        <f>IF(COUNT(Solver!X73)&lt;1,"",ABS(Solver!X73-Analytical!X17))</f>
        <v/>
      </c>
    </row>
    <row r="59" spans="1:24" x14ac:dyDescent="0.25">
      <c r="A59" s="2">
        <v>11</v>
      </c>
      <c r="B59" s="4">
        <f>IF(11&lt;=N,(11-0.5)*dx,"")</f>
        <v>0.5</v>
      </c>
      <c r="D59" s="8" t="str">
        <f>IF(COUNT(Solver!D74)&lt;1,"",ABS(Solver!D74-Analytical!D18))</f>
        <v/>
      </c>
      <c r="E59" s="8">
        <f>IF(COUNT(Solver!E74)&lt;1,"",ABS(Solver!E74-Analytical!E18))</f>
        <v>1.8692180473293445E-16</v>
      </c>
      <c r="F59" s="8">
        <f>IF(COUNT(Solver!F74)&lt;1,"",ABS(Solver!F74-Analytical!F18))</f>
        <v>1.7847535074227684E-16</v>
      </c>
      <c r="G59" s="8">
        <f>IF(COUNT(Solver!G74)&lt;1,"",ABS(Solver!G74-Analytical!G18))</f>
        <v>1.66042052337676E-16</v>
      </c>
      <c r="H59" s="8">
        <f>IF(COUNT(Solver!H74)&lt;1,"",ABS(Solver!H74-Analytical!H18))</f>
        <v>1.4989964886008359E-16</v>
      </c>
      <c r="I59" s="8">
        <f>IF(COUNT(Solver!I74)&lt;1,"",ABS(Solver!I74-Analytical!I18))</f>
        <v>1.3040873492867022E-16</v>
      </c>
      <c r="J59" s="8">
        <f>IF(COUNT(Solver!J74)&lt;1,"",ABS(Solver!J74-Analytical!J18))</f>
        <v>1.0800470535289781E-16</v>
      </c>
      <c r="K59" s="8">
        <f>IF(COUNT(Solver!K74)&lt;1,"",ABS(Solver!K74-Analytical!K18))</f>
        <v>8.3188029131944805E-17</v>
      </c>
      <c r="L59" s="8">
        <f>IF(COUNT(Solver!L74)&lt;1,"",ABS(Solver!L74-Analytical!L18))</f>
        <v>5.6513069804264376E-17</v>
      </c>
      <c r="M59" s="8">
        <f>IF(COUNT(Solver!M74)&lt;1,"",ABS(Solver!M74-Analytical!M18))</f>
        <v>2.85757018821933E-17</v>
      </c>
      <c r="N59" s="8">
        <f>IF(COUNT(Solver!N74)&lt;1,"",ABS(Solver!N74-Analytical!N18))</f>
        <v>0</v>
      </c>
      <c r="O59" s="8">
        <f>IF(COUNT(Solver!O74)&lt;1,"",ABS(Solver!O74-Analytical!O18))</f>
        <v>2.85757018821933E-17</v>
      </c>
      <c r="P59" s="8">
        <f>IF(COUNT(Solver!P74)&lt;1,"",ABS(Solver!P74-Analytical!P18))</f>
        <v>5.6513069804264314E-17</v>
      </c>
      <c r="Q59" s="8">
        <f>IF(COUNT(Solver!Q74)&lt;1,"",ABS(Solver!Q74-Analytical!Q18))</f>
        <v>8.3188029131944867E-17</v>
      </c>
      <c r="R59" s="8">
        <f>IF(COUNT(Solver!R74)&lt;1,"",ABS(Solver!R74-Analytical!R18))</f>
        <v>1.0800470535289775E-16</v>
      </c>
      <c r="S59" s="8">
        <f>IF(COUNT(Solver!S74)&lt;1,"",ABS(Solver!S74-Analytical!S18))</f>
        <v>1.3040873492867008E-16</v>
      </c>
      <c r="T59" s="8">
        <f>IF(COUNT(Solver!T74)&lt;1,"",ABS(Solver!T74-Analytical!T18))</f>
        <v>1.4989964886008346E-16</v>
      </c>
      <c r="U59" s="8">
        <f>IF(COUNT(Solver!U74)&lt;1,"",ABS(Solver!U74-Analytical!U18))</f>
        <v>1.6604205233767593E-16</v>
      </c>
      <c r="V59" s="8">
        <f>IF(COUNT(Solver!V74)&lt;1,"",ABS(Solver!V74-Analytical!V18))</f>
        <v>1.7847535074227674E-16</v>
      </c>
      <c r="W59" s="8">
        <f>IF(COUNT(Solver!W74)&lt;1,"",ABS(Solver!W74-Analytical!W18))</f>
        <v>1.8692180473293435E-16</v>
      </c>
      <c r="X59" s="8" t="str">
        <f>IF(COUNT(Solver!X74)&lt;1,"",ABS(Solver!X74-Analytical!X18))</f>
        <v/>
      </c>
    </row>
    <row r="60" spans="1:24" x14ac:dyDescent="0.25">
      <c r="A60" s="2">
        <v>12</v>
      </c>
      <c r="B60" s="4">
        <f>IF(12&lt;=N,(12-0.5)*dx,"")</f>
        <v>0.54761904761904756</v>
      </c>
      <c r="D60" s="8" t="str">
        <f>IF(COUNT(Solver!D75)&lt;1,"",ABS(Solver!D75-Analytical!D19))</f>
        <v/>
      </c>
      <c r="E60" s="8">
        <f>IF(COUNT(Solver!E75)&lt;1,"",ABS(Solver!E75-Analytical!E19))</f>
        <v>1.5543122344752192E-15</v>
      </c>
      <c r="F60" s="8">
        <f>IF(COUNT(Solver!F75)&lt;1,"",ABS(Solver!F75-Analytical!F19))</f>
        <v>5.5511151231257827E-16</v>
      </c>
      <c r="G60" s="8">
        <f>IF(COUNT(Solver!G75)&lt;1,"",ABS(Solver!G75-Analytical!G19))</f>
        <v>1.0547118733938987E-15</v>
      </c>
      <c r="H60" s="8">
        <f>IF(COUNT(Solver!H75)&lt;1,"",ABS(Solver!H75-Analytical!H19))</f>
        <v>7.2164496600635175E-16</v>
      </c>
      <c r="I60" s="8">
        <f>IF(COUNT(Solver!I75)&lt;1,"",ABS(Solver!I75-Analytical!I19))</f>
        <v>4.4408920985006262E-16</v>
      </c>
      <c r="J60" s="8">
        <f>IF(COUNT(Solver!J75)&lt;1,"",ABS(Solver!J75-Analytical!J19))</f>
        <v>9.9920072216264089E-16</v>
      </c>
      <c r="K60" s="8">
        <f>IF(COUNT(Solver!K75)&lt;1,"",ABS(Solver!K75-Analytical!K19))</f>
        <v>4.163336342344337E-16</v>
      </c>
      <c r="L60" s="8">
        <f>IF(COUNT(Solver!L75)&lt;1,"",ABS(Solver!L75-Analytical!L19))</f>
        <v>2.7755575615628914E-16</v>
      </c>
      <c r="M60" s="8">
        <f>IF(COUNT(Solver!M75)&lt;1,"",ABS(Solver!M75-Analytical!M19))</f>
        <v>2.9143354396410359E-16</v>
      </c>
      <c r="N60" s="8">
        <f>IF(COUNT(Solver!N75)&lt;1,"",ABS(Solver!N75-Analytical!N19))</f>
        <v>2.85757018821933E-17</v>
      </c>
      <c r="O60" s="8">
        <f>IF(COUNT(Solver!O75)&lt;1,"",ABS(Solver!O75-Analytical!O19))</f>
        <v>0</v>
      </c>
      <c r="P60" s="8">
        <f>IF(COUNT(Solver!P75)&lt;1,"",ABS(Solver!P75-Analytical!P19))</f>
        <v>5.8286708792820718E-16</v>
      </c>
      <c r="Q60" s="8">
        <f>IF(COUNT(Solver!Q75)&lt;1,"",ABS(Solver!Q75-Analytical!Q19))</f>
        <v>2.7755575615628914E-16</v>
      </c>
      <c r="R60" s="8">
        <f>IF(COUNT(Solver!R75)&lt;1,"",ABS(Solver!R75-Analytical!R19))</f>
        <v>9.9920072216264089E-16</v>
      </c>
      <c r="S60" s="8">
        <f>IF(COUNT(Solver!S75)&lt;1,"",ABS(Solver!S75-Analytical!S19))</f>
        <v>7.2164496600635175E-16</v>
      </c>
      <c r="T60" s="8">
        <f>IF(COUNT(Solver!T75)&lt;1,"",ABS(Solver!T75-Analytical!T19))</f>
        <v>1.1657341758564144E-15</v>
      </c>
      <c r="U60" s="8">
        <f>IF(COUNT(Solver!U75)&lt;1,"",ABS(Solver!U75-Analytical!U19))</f>
        <v>1.3877787807814457E-15</v>
      </c>
      <c r="V60" s="8">
        <f>IF(COUNT(Solver!V75)&lt;1,"",ABS(Solver!V75-Analytical!V19))</f>
        <v>7.2164496600635175E-16</v>
      </c>
      <c r="W60" s="8">
        <f>IF(COUNT(Solver!W75)&lt;1,"",ABS(Solver!W75-Analytical!W19))</f>
        <v>1.7763568394002505E-15</v>
      </c>
      <c r="X60" s="8" t="str">
        <f>IF(COUNT(Solver!X75)&lt;1,"",ABS(Solver!X75-Analytical!X19))</f>
        <v/>
      </c>
    </row>
    <row r="61" spans="1:24" x14ac:dyDescent="0.25">
      <c r="A61" s="2">
        <v>13</v>
      </c>
      <c r="B61" s="4">
        <f>IF(13&lt;=N,(13-0.5)*dx,"")</f>
        <v>0.59523809523809523</v>
      </c>
      <c r="D61" s="8" t="str">
        <f>IF(COUNT(Solver!D76)&lt;1,"",ABS(Solver!D76-Analytical!D20))</f>
        <v/>
      </c>
      <c r="E61" s="8">
        <f>IF(COUNT(Solver!E76)&lt;1,"",ABS(Solver!E76-Analytical!E20))</f>
        <v>3.3306690738754696E-16</v>
      </c>
      <c r="F61" s="8">
        <f>IF(COUNT(Solver!F76)&lt;1,"",ABS(Solver!F76-Analytical!F20))</f>
        <v>3.3306690738754696E-16</v>
      </c>
      <c r="G61" s="8">
        <f>IF(COUNT(Solver!G76)&lt;1,"",ABS(Solver!G76-Analytical!G20))</f>
        <v>5.5511151231257827E-16</v>
      </c>
      <c r="H61" s="8">
        <f>IF(COUNT(Solver!H76)&lt;1,"",ABS(Solver!H76-Analytical!H20))</f>
        <v>2.2204460492503131E-16</v>
      </c>
      <c r="I61" s="8">
        <f>IF(COUNT(Solver!I76)&lt;1,"",ABS(Solver!I76-Analytical!I20))</f>
        <v>2.2204460492503131E-16</v>
      </c>
      <c r="J61" s="8">
        <f>IF(COUNT(Solver!J76)&lt;1,"",ABS(Solver!J76-Analytical!J20))</f>
        <v>3.3306690738754696E-16</v>
      </c>
      <c r="K61" s="8">
        <f>IF(COUNT(Solver!K76)&lt;1,"",ABS(Solver!K76-Analytical!K20))</f>
        <v>2.7755575615628914E-16</v>
      </c>
      <c r="L61" s="8">
        <f>IF(COUNT(Solver!L76)&lt;1,"",ABS(Solver!L76-Analytical!L20))</f>
        <v>0</v>
      </c>
      <c r="M61" s="8">
        <f>IF(COUNT(Solver!M76)&lt;1,"",ABS(Solver!M76-Analytical!M20))</f>
        <v>0</v>
      </c>
      <c r="N61" s="8">
        <f>IF(COUNT(Solver!N76)&lt;1,"",ABS(Solver!N76-Analytical!N20))</f>
        <v>5.6513069804264314E-17</v>
      </c>
      <c r="O61" s="8">
        <f>IF(COUNT(Solver!O76)&lt;1,"",ABS(Solver!O76-Analytical!O20))</f>
        <v>5.8286708792820718E-16</v>
      </c>
      <c r="P61" s="8">
        <f>IF(COUNT(Solver!P76)&lt;1,"",ABS(Solver!P76-Analytical!P20))</f>
        <v>0</v>
      </c>
      <c r="Q61" s="8">
        <f>IF(COUNT(Solver!Q76)&lt;1,"",ABS(Solver!Q76-Analytical!Q20))</f>
        <v>0</v>
      </c>
      <c r="R61" s="8">
        <f>IF(COUNT(Solver!R76)&lt;1,"",ABS(Solver!R76-Analytical!R20))</f>
        <v>2.2204460492503131E-16</v>
      </c>
      <c r="S61" s="8">
        <f>IF(COUNT(Solver!S76)&lt;1,"",ABS(Solver!S76-Analytical!S20))</f>
        <v>8.8817841970012523E-16</v>
      </c>
      <c r="T61" s="8">
        <f>IF(COUNT(Solver!T76)&lt;1,"",ABS(Solver!T76-Analytical!T20))</f>
        <v>5.5511151231257827E-16</v>
      </c>
      <c r="U61" s="8">
        <f>IF(COUNT(Solver!U76)&lt;1,"",ABS(Solver!U76-Analytical!U20))</f>
        <v>0</v>
      </c>
      <c r="V61" s="8">
        <f>IF(COUNT(Solver!V76)&lt;1,"",ABS(Solver!V76-Analytical!V20))</f>
        <v>0</v>
      </c>
      <c r="W61" s="8">
        <f>IF(COUNT(Solver!W76)&lt;1,"",ABS(Solver!W76-Analytical!W20))</f>
        <v>7.7715611723760958E-16</v>
      </c>
      <c r="X61" s="8" t="str">
        <f>IF(COUNT(Solver!X76)&lt;1,"",ABS(Solver!X76-Analytical!X20))</f>
        <v/>
      </c>
    </row>
    <row r="62" spans="1:24" x14ac:dyDescent="0.25">
      <c r="A62" s="2">
        <v>14</v>
      </c>
      <c r="B62" s="4">
        <f>IF(14&lt;=N,(14-0.5)*dx,"")</f>
        <v>0.64285714285714279</v>
      </c>
      <c r="D62" s="8" t="str">
        <f>IF(COUNT(Solver!D77)&lt;1,"",ABS(Solver!D77-Analytical!D21))</f>
        <v/>
      </c>
      <c r="E62" s="8">
        <f>IF(COUNT(Solver!E77)&lt;1,"",ABS(Solver!E77-Analytical!E21))</f>
        <v>0</v>
      </c>
      <c r="F62" s="8">
        <f>IF(COUNT(Solver!F77)&lt;1,"",ABS(Solver!F77-Analytical!F21))</f>
        <v>1.1102230246251565E-15</v>
      </c>
      <c r="G62" s="8">
        <f>IF(COUNT(Solver!G77)&lt;1,"",ABS(Solver!G77-Analytical!G21))</f>
        <v>2.2204460492503131E-16</v>
      </c>
      <c r="H62" s="8">
        <f>IF(COUNT(Solver!H77)&lt;1,"",ABS(Solver!H77-Analytical!H21))</f>
        <v>4.4408920985006262E-16</v>
      </c>
      <c r="I62" s="8">
        <f>IF(COUNT(Solver!I77)&lt;1,"",ABS(Solver!I77-Analytical!I21))</f>
        <v>0</v>
      </c>
      <c r="J62" s="8">
        <f>IF(COUNT(Solver!J77)&lt;1,"",ABS(Solver!J77-Analytical!J21))</f>
        <v>0</v>
      </c>
      <c r="K62" s="8">
        <f>IF(COUNT(Solver!K77)&lt;1,"",ABS(Solver!K77-Analytical!K21))</f>
        <v>1.2212453270876722E-15</v>
      </c>
      <c r="L62" s="8">
        <f>IF(COUNT(Solver!L77)&lt;1,"",ABS(Solver!L77-Analytical!L21))</f>
        <v>2.7755575615628914E-16</v>
      </c>
      <c r="M62" s="8">
        <f>IF(COUNT(Solver!M77)&lt;1,"",ABS(Solver!M77-Analytical!M21))</f>
        <v>0</v>
      </c>
      <c r="N62" s="8">
        <f>IF(COUNT(Solver!N77)&lt;1,"",ABS(Solver!N77-Analytical!N21))</f>
        <v>8.3188029131944867E-17</v>
      </c>
      <c r="O62" s="8">
        <f>IF(COUNT(Solver!O77)&lt;1,"",ABS(Solver!O77-Analytical!O21))</f>
        <v>2.7755575615628914E-16</v>
      </c>
      <c r="P62" s="8">
        <f>IF(COUNT(Solver!P77)&lt;1,"",ABS(Solver!P77-Analytical!P21))</f>
        <v>0</v>
      </c>
      <c r="Q62" s="8">
        <f>IF(COUNT(Solver!Q77)&lt;1,"",ABS(Solver!Q77-Analytical!Q21))</f>
        <v>0</v>
      </c>
      <c r="R62" s="8">
        <f>IF(COUNT(Solver!R77)&lt;1,"",ABS(Solver!R77-Analytical!R21))</f>
        <v>5.5511151231257827E-16</v>
      </c>
      <c r="S62" s="8">
        <f>IF(COUNT(Solver!S77)&lt;1,"",ABS(Solver!S77-Analytical!S21))</f>
        <v>1.1102230246251565E-15</v>
      </c>
      <c r="T62" s="8">
        <f>IF(COUNT(Solver!T77)&lt;1,"",ABS(Solver!T77-Analytical!T21))</f>
        <v>8.8817841970012523E-16</v>
      </c>
      <c r="U62" s="8">
        <f>IF(COUNT(Solver!U77)&lt;1,"",ABS(Solver!U77-Analytical!U21))</f>
        <v>8.8817841970012523E-16</v>
      </c>
      <c r="V62" s="8">
        <f>IF(COUNT(Solver!V77)&lt;1,"",ABS(Solver!V77-Analytical!V21))</f>
        <v>1.9984014443252818E-15</v>
      </c>
      <c r="W62" s="8">
        <f>IF(COUNT(Solver!W77)&lt;1,"",ABS(Solver!W77-Analytical!W21))</f>
        <v>6.6613381477509392E-16</v>
      </c>
      <c r="X62" s="8" t="str">
        <f>IF(COUNT(Solver!X77)&lt;1,"",ABS(Solver!X77-Analytical!X21))</f>
        <v/>
      </c>
    </row>
    <row r="63" spans="1:24" x14ac:dyDescent="0.25">
      <c r="A63" s="2">
        <v>15</v>
      </c>
      <c r="B63" s="4">
        <f>IF(15&lt;=N,(15-0.5)*dx,"")</f>
        <v>0.69047619047619047</v>
      </c>
      <c r="D63" s="8" t="str">
        <f>IF(COUNT(Solver!D78)&lt;1,"",ABS(Solver!D78-Analytical!D22))</f>
        <v/>
      </c>
      <c r="E63" s="8">
        <f>IF(COUNT(Solver!E78)&lt;1,"",ABS(Solver!E78-Analytical!E22))</f>
        <v>1.7763568394002505E-15</v>
      </c>
      <c r="F63" s="8">
        <f>IF(COUNT(Solver!F78)&lt;1,"",ABS(Solver!F78-Analytical!F22))</f>
        <v>4.4408920985006262E-16</v>
      </c>
      <c r="G63" s="8">
        <f>IF(COUNT(Solver!G78)&lt;1,"",ABS(Solver!G78-Analytical!G22))</f>
        <v>1.1102230246251565E-15</v>
      </c>
      <c r="H63" s="8">
        <f>IF(COUNT(Solver!H78)&lt;1,"",ABS(Solver!H78-Analytical!H22))</f>
        <v>6.6613381477509392E-16</v>
      </c>
      <c r="I63" s="8">
        <f>IF(COUNT(Solver!I78)&lt;1,"",ABS(Solver!I78-Analytical!I22))</f>
        <v>1.1102230246251565E-15</v>
      </c>
      <c r="J63" s="8">
        <f>IF(COUNT(Solver!J78)&lt;1,"",ABS(Solver!J78-Analytical!J22))</f>
        <v>1.7763568394002505E-15</v>
      </c>
      <c r="K63" s="8">
        <f>IF(COUNT(Solver!K78)&lt;1,"",ABS(Solver!K78-Analytical!K22))</f>
        <v>1.2212453270876722E-15</v>
      </c>
      <c r="L63" s="8">
        <f>IF(COUNT(Solver!L78)&lt;1,"",ABS(Solver!L78-Analytical!L22))</f>
        <v>0</v>
      </c>
      <c r="M63" s="8">
        <f>IF(COUNT(Solver!M78)&lt;1,"",ABS(Solver!M78-Analytical!M22))</f>
        <v>7.2164496600635175E-16</v>
      </c>
      <c r="N63" s="8">
        <f>IF(COUNT(Solver!N78)&lt;1,"",ABS(Solver!N78-Analytical!N22))</f>
        <v>1.0800470535289775E-16</v>
      </c>
      <c r="O63" s="8">
        <f>IF(COUNT(Solver!O78)&lt;1,"",ABS(Solver!O78-Analytical!O22))</f>
        <v>9.9920072216264089E-16</v>
      </c>
      <c r="P63" s="8">
        <f>IF(COUNT(Solver!P78)&lt;1,"",ABS(Solver!P78-Analytical!P22))</f>
        <v>2.2204460492503131E-16</v>
      </c>
      <c r="Q63" s="8">
        <f>IF(COUNT(Solver!Q78)&lt;1,"",ABS(Solver!Q78-Analytical!Q22))</f>
        <v>5.5511151231257827E-16</v>
      </c>
      <c r="R63" s="8">
        <f>IF(COUNT(Solver!R78)&lt;1,"",ABS(Solver!R78-Analytical!R22))</f>
        <v>0</v>
      </c>
      <c r="S63" s="8">
        <f>IF(COUNT(Solver!S78)&lt;1,"",ABS(Solver!S78-Analytical!S22))</f>
        <v>0</v>
      </c>
      <c r="T63" s="8">
        <f>IF(COUNT(Solver!T78)&lt;1,"",ABS(Solver!T78-Analytical!T22))</f>
        <v>0</v>
      </c>
      <c r="U63" s="8">
        <f>IF(COUNT(Solver!U78)&lt;1,"",ABS(Solver!U78-Analytical!U22))</f>
        <v>0</v>
      </c>
      <c r="V63" s="8">
        <f>IF(COUNT(Solver!V78)&lt;1,"",ABS(Solver!V78-Analytical!V22))</f>
        <v>8.8817841970012523E-16</v>
      </c>
      <c r="W63" s="8">
        <f>IF(COUNT(Solver!W78)&lt;1,"",ABS(Solver!W78-Analytical!W22))</f>
        <v>8.8817841970012523E-16</v>
      </c>
      <c r="X63" s="8" t="str">
        <f>IF(COUNT(Solver!X78)&lt;1,"",ABS(Solver!X78-Analytical!X22))</f>
        <v/>
      </c>
    </row>
    <row r="64" spans="1:24" x14ac:dyDescent="0.25">
      <c r="A64" s="2">
        <v>16</v>
      </c>
      <c r="B64" s="4">
        <f>IF(16&lt;=N,(16-0.5)*dx,"")</f>
        <v>0.73809523809523803</v>
      </c>
      <c r="D64" s="8" t="str">
        <f>IF(COUNT(Solver!D79)&lt;1,"",ABS(Solver!D79-Analytical!D23))</f>
        <v/>
      </c>
      <c r="E64" s="8">
        <f>IF(COUNT(Solver!E79)&lt;1,"",ABS(Solver!E79-Analytical!E23))</f>
        <v>4.4408920985006262E-16</v>
      </c>
      <c r="F64" s="8">
        <f>IF(COUNT(Solver!F79)&lt;1,"",ABS(Solver!F79-Analytical!F23))</f>
        <v>0</v>
      </c>
      <c r="G64" s="8">
        <f>IF(COUNT(Solver!G79)&lt;1,"",ABS(Solver!G79-Analytical!G23))</f>
        <v>2.2204460492503131E-16</v>
      </c>
      <c r="H64" s="8">
        <f>IF(COUNT(Solver!H79)&lt;1,"",ABS(Solver!H79-Analytical!H23))</f>
        <v>6.6613381477509392E-16</v>
      </c>
      <c r="I64" s="8">
        <f>IF(COUNT(Solver!I79)&lt;1,"",ABS(Solver!I79-Analytical!I23))</f>
        <v>6.6613381477509392E-16</v>
      </c>
      <c r="J64" s="8">
        <f>IF(COUNT(Solver!J79)&lt;1,"",ABS(Solver!J79-Analytical!J23))</f>
        <v>6.6613381477509392E-16</v>
      </c>
      <c r="K64" s="8">
        <f>IF(COUNT(Solver!K79)&lt;1,"",ABS(Solver!K79-Analytical!K23))</f>
        <v>5.5511151231257827E-16</v>
      </c>
      <c r="L64" s="8">
        <f>IF(COUNT(Solver!L79)&lt;1,"",ABS(Solver!L79-Analytical!L23))</f>
        <v>3.3306690738754696E-16</v>
      </c>
      <c r="M64" s="8">
        <f>IF(COUNT(Solver!M79)&lt;1,"",ABS(Solver!M79-Analytical!M23))</f>
        <v>0</v>
      </c>
      <c r="N64" s="8">
        <f>IF(COUNT(Solver!N79)&lt;1,"",ABS(Solver!N79-Analytical!N23))</f>
        <v>1.3040873492867008E-16</v>
      </c>
      <c r="O64" s="8">
        <f>IF(COUNT(Solver!O79)&lt;1,"",ABS(Solver!O79-Analytical!O23))</f>
        <v>7.2164496600635175E-16</v>
      </c>
      <c r="P64" s="8">
        <f>IF(COUNT(Solver!P79)&lt;1,"",ABS(Solver!P79-Analytical!P23))</f>
        <v>8.8817841970012523E-16</v>
      </c>
      <c r="Q64" s="8">
        <f>IF(COUNT(Solver!Q79)&lt;1,"",ABS(Solver!Q79-Analytical!Q23))</f>
        <v>1.1102230246251565E-15</v>
      </c>
      <c r="R64" s="8">
        <f>IF(COUNT(Solver!R79)&lt;1,"",ABS(Solver!R79-Analytical!R23))</f>
        <v>0</v>
      </c>
      <c r="S64" s="8">
        <f>IF(COUNT(Solver!S79)&lt;1,"",ABS(Solver!S79-Analytical!S23))</f>
        <v>0</v>
      </c>
      <c r="T64" s="8">
        <f>IF(COUNT(Solver!T79)&lt;1,"",ABS(Solver!T79-Analytical!T23))</f>
        <v>4.4408920985006262E-16</v>
      </c>
      <c r="U64" s="8">
        <f>IF(COUNT(Solver!U79)&lt;1,"",ABS(Solver!U79-Analytical!U23))</f>
        <v>4.4408920985006262E-16</v>
      </c>
      <c r="V64" s="8">
        <f>IF(COUNT(Solver!V79)&lt;1,"",ABS(Solver!V79-Analytical!V23))</f>
        <v>0</v>
      </c>
      <c r="W64" s="8">
        <f>IF(COUNT(Solver!W79)&lt;1,"",ABS(Solver!W79-Analytical!W23))</f>
        <v>4.4408920985006262E-16</v>
      </c>
      <c r="X64" s="8" t="str">
        <f>IF(COUNT(Solver!X79)&lt;1,"",ABS(Solver!X79-Analytical!X23))</f>
        <v/>
      </c>
    </row>
    <row r="65" spans="1:24" x14ac:dyDescent="0.25">
      <c r="A65" s="2">
        <v>17</v>
      </c>
      <c r="B65" s="4">
        <f>IF(17&lt;=N,(17-0.5)*dx,"")</f>
        <v>0.7857142857142857</v>
      </c>
      <c r="D65" s="8" t="str">
        <f>IF(COUNT(Solver!D80)&lt;1,"",ABS(Solver!D80-Analytical!D24))</f>
        <v/>
      </c>
      <c r="E65" s="8">
        <f>IF(COUNT(Solver!E80)&lt;1,"",ABS(Solver!E80-Analytical!E24))</f>
        <v>1.3322676295501878E-15</v>
      </c>
      <c r="F65" s="8">
        <f>IF(COUNT(Solver!F80)&lt;1,"",ABS(Solver!F80-Analytical!F24))</f>
        <v>2.2204460492503131E-15</v>
      </c>
      <c r="G65" s="8">
        <f>IF(COUNT(Solver!G80)&lt;1,"",ABS(Solver!G80-Analytical!G24))</f>
        <v>1.3322676295501878E-15</v>
      </c>
      <c r="H65" s="8">
        <f>IF(COUNT(Solver!H80)&lt;1,"",ABS(Solver!H80-Analytical!H24))</f>
        <v>1.1102230246251565E-15</v>
      </c>
      <c r="I65" s="8">
        <f>IF(COUNT(Solver!I80)&lt;1,"",ABS(Solver!I80-Analytical!I24))</f>
        <v>2.4424906541753444E-15</v>
      </c>
      <c r="J65" s="8">
        <f>IF(COUNT(Solver!J80)&lt;1,"",ABS(Solver!J80-Analytical!J24))</f>
        <v>1.7763568394002505E-15</v>
      </c>
      <c r="K65" s="8">
        <f>IF(COUNT(Solver!K80)&lt;1,"",ABS(Solver!K80-Analytical!K24))</f>
        <v>6.6613381477509392E-16</v>
      </c>
      <c r="L65" s="8">
        <f>IF(COUNT(Solver!L80)&lt;1,"",ABS(Solver!L80-Analytical!L24))</f>
        <v>1.4432899320127035E-15</v>
      </c>
      <c r="M65" s="8">
        <f>IF(COUNT(Solver!M80)&lt;1,"",ABS(Solver!M80-Analytical!M24))</f>
        <v>2.7755575615628914E-16</v>
      </c>
      <c r="N65" s="8">
        <f>IF(COUNT(Solver!N80)&lt;1,"",ABS(Solver!N80-Analytical!N24))</f>
        <v>1.4989964886008346E-16</v>
      </c>
      <c r="O65" s="8">
        <f>IF(COUNT(Solver!O80)&lt;1,"",ABS(Solver!O80-Analytical!O24))</f>
        <v>1.1657341758564144E-15</v>
      </c>
      <c r="P65" s="8">
        <f>IF(COUNT(Solver!P80)&lt;1,"",ABS(Solver!P80-Analytical!P24))</f>
        <v>5.5511151231257827E-16</v>
      </c>
      <c r="Q65" s="8">
        <f>IF(COUNT(Solver!Q80)&lt;1,"",ABS(Solver!Q80-Analytical!Q24))</f>
        <v>8.8817841970012523E-16</v>
      </c>
      <c r="R65" s="8">
        <f>IF(COUNT(Solver!R80)&lt;1,"",ABS(Solver!R80-Analytical!R24))</f>
        <v>0</v>
      </c>
      <c r="S65" s="8">
        <f>IF(COUNT(Solver!S80)&lt;1,"",ABS(Solver!S80-Analytical!S24))</f>
        <v>4.4408920985006262E-16</v>
      </c>
      <c r="T65" s="8">
        <f>IF(COUNT(Solver!T80)&lt;1,"",ABS(Solver!T80-Analytical!T24))</f>
        <v>0</v>
      </c>
      <c r="U65" s="8">
        <f>IF(COUNT(Solver!U80)&lt;1,"",ABS(Solver!U80-Analytical!U24))</f>
        <v>8.8817841970012523E-16</v>
      </c>
      <c r="V65" s="8">
        <f>IF(COUNT(Solver!V80)&lt;1,"",ABS(Solver!V80-Analytical!V24))</f>
        <v>8.8817841970012523E-16</v>
      </c>
      <c r="W65" s="8">
        <f>IF(COUNT(Solver!W80)&lt;1,"",ABS(Solver!W80-Analytical!W24))</f>
        <v>8.8817841970012523E-16</v>
      </c>
      <c r="X65" s="8" t="str">
        <f>IF(COUNT(Solver!X80)&lt;1,"",ABS(Solver!X80-Analytical!X24))</f>
        <v/>
      </c>
    </row>
    <row r="66" spans="1:24" x14ac:dyDescent="0.25">
      <c r="A66" s="2">
        <v>18</v>
      </c>
      <c r="B66" s="4">
        <f>IF(18&lt;=N,(18-0.5)*dx,"")</f>
        <v>0.83333333333333326</v>
      </c>
      <c r="D66" s="8" t="str">
        <f>IF(COUNT(Solver!D81)&lt;1,"",ABS(Solver!D81-Analytical!D25))</f>
        <v/>
      </c>
      <c r="E66" s="8">
        <f>IF(COUNT(Solver!E81)&lt;1,"",ABS(Solver!E81-Analytical!E25))</f>
        <v>8.8817841970012523E-16</v>
      </c>
      <c r="F66" s="8">
        <f>IF(COUNT(Solver!F81)&lt;1,"",ABS(Solver!F81-Analytical!F25))</f>
        <v>1.3322676295501878E-15</v>
      </c>
      <c r="G66" s="8">
        <f>IF(COUNT(Solver!G81)&lt;1,"",ABS(Solver!G81-Analytical!G25))</f>
        <v>1.3322676295501878E-15</v>
      </c>
      <c r="H66" s="8">
        <f>IF(COUNT(Solver!H81)&lt;1,"",ABS(Solver!H81-Analytical!H25))</f>
        <v>0</v>
      </c>
      <c r="I66" s="8">
        <f>IF(COUNT(Solver!I81)&lt;1,"",ABS(Solver!I81-Analytical!I25))</f>
        <v>1.7763568394002505E-15</v>
      </c>
      <c r="J66" s="8">
        <f>IF(COUNT(Solver!J81)&lt;1,"",ABS(Solver!J81-Analytical!J25))</f>
        <v>1.7763568394002505E-15</v>
      </c>
      <c r="K66" s="8">
        <f>IF(COUNT(Solver!K81)&lt;1,"",ABS(Solver!K81-Analytical!K25))</f>
        <v>8.8817841970012523E-16</v>
      </c>
      <c r="L66" s="8">
        <f>IF(COUNT(Solver!L81)&lt;1,"",ABS(Solver!L81-Analytical!L25))</f>
        <v>5.5511151231257827E-16</v>
      </c>
      <c r="M66" s="8">
        <f>IF(COUNT(Solver!M81)&lt;1,"",ABS(Solver!M81-Analytical!M25))</f>
        <v>4.9960036108132044E-16</v>
      </c>
      <c r="N66" s="8">
        <f>IF(COUNT(Solver!N81)&lt;1,"",ABS(Solver!N81-Analytical!N25))</f>
        <v>1.6604205233767593E-16</v>
      </c>
      <c r="O66" s="8">
        <f>IF(COUNT(Solver!O81)&lt;1,"",ABS(Solver!O81-Analytical!O25))</f>
        <v>1.3877787807814457E-15</v>
      </c>
      <c r="P66" s="8">
        <f>IF(COUNT(Solver!P81)&lt;1,"",ABS(Solver!P81-Analytical!P25))</f>
        <v>0</v>
      </c>
      <c r="Q66" s="8">
        <f>IF(COUNT(Solver!Q81)&lt;1,"",ABS(Solver!Q81-Analytical!Q25))</f>
        <v>8.8817841970012523E-16</v>
      </c>
      <c r="R66" s="8">
        <f>IF(COUNT(Solver!R81)&lt;1,"",ABS(Solver!R81-Analytical!R25))</f>
        <v>0</v>
      </c>
      <c r="S66" s="8">
        <f>IF(COUNT(Solver!S81)&lt;1,"",ABS(Solver!S81-Analytical!S25))</f>
        <v>4.4408920985006262E-16</v>
      </c>
      <c r="T66" s="8">
        <f>IF(COUNT(Solver!T81)&lt;1,"",ABS(Solver!T81-Analytical!T25))</f>
        <v>8.8817841970012523E-16</v>
      </c>
      <c r="U66" s="8">
        <f>IF(COUNT(Solver!U81)&lt;1,"",ABS(Solver!U81-Analytical!U25))</f>
        <v>0</v>
      </c>
      <c r="V66" s="8">
        <f>IF(COUNT(Solver!V81)&lt;1,"",ABS(Solver!V81-Analytical!V25))</f>
        <v>4.4408920985006262E-16</v>
      </c>
      <c r="W66" s="8">
        <f>IF(COUNT(Solver!W81)&lt;1,"",ABS(Solver!W81-Analytical!W25))</f>
        <v>4.4408920985006262E-16</v>
      </c>
      <c r="X66" s="8" t="str">
        <f>IF(COUNT(Solver!X81)&lt;1,"",ABS(Solver!X81-Analytical!X25))</f>
        <v/>
      </c>
    </row>
    <row r="67" spans="1:24" x14ac:dyDescent="0.25">
      <c r="A67" s="2">
        <v>19</v>
      </c>
      <c r="B67" s="4">
        <f>IF(19&lt;=N,(19-0.5)*dx,"")</f>
        <v>0.88095238095238093</v>
      </c>
      <c r="D67" s="8" t="str">
        <f>IF(COUNT(Solver!D82)&lt;1,"",ABS(Solver!D82-Analytical!D26))</f>
        <v/>
      </c>
      <c r="E67" s="8">
        <f>IF(COUNT(Solver!E82)&lt;1,"",ABS(Solver!E82-Analytical!E26))</f>
        <v>1.7763568394002505E-15</v>
      </c>
      <c r="F67" s="8">
        <f>IF(COUNT(Solver!F82)&lt;1,"",ABS(Solver!F82-Analytical!F26))</f>
        <v>4.4408920985006262E-16</v>
      </c>
      <c r="G67" s="8">
        <f>IF(COUNT(Solver!G82)&lt;1,"",ABS(Solver!G82-Analytical!G26))</f>
        <v>1.3322676295501878E-15</v>
      </c>
      <c r="H67" s="8">
        <f>IF(COUNT(Solver!H82)&lt;1,"",ABS(Solver!H82-Analytical!H26))</f>
        <v>8.8817841970012523E-16</v>
      </c>
      <c r="I67" s="8">
        <f>IF(COUNT(Solver!I82)&lt;1,"",ABS(Solver!I82-Analytical!I26))</f>
        <v>1.1102230246251565E-15</v>
      </c>
      <c r="J67" s="8">
        <f>IF(COUNT(Solver!J82)&lt;1,"",ABS(Solver!J82-Analytical!J26))</f>
        <v>6.6613381477509392E-16</v>
      </c>
      <c r="K67" s="8">
        <f>IF(COUNT(Solver!K82)&lt;1,"",ABS(Solver!K82-Analytical!K26))</f>
        <v>0</v>
      </c>
      <c r="L67" s="8">
        <f>IF(COUNT(Solver!L82)&lt;1,"",ABS(Solver!L82-Analytical!L26))</f>
        <v>8.8817841970012523E-16</v>
      </c>
      <c r="M67" s="8">
        <f>IF(COUNT(Solver!M82)&lt;1,"",ABS(Solver!M82-Analytical!M26))</f>
        <v>3.3306690738754696E-16</v>
      </c>
      <c r="N67" s="8">
        <f>IF(COUNT(Solver!N82)&lt;1,"",ABS(Solver!N82-Analytical!N26))</f>
        <v>1.7847535074227674E-16</v>
      </c>
      <c r="O67" s="8">
        <f>IF(COUNT(Solver!O82)&lt;1,"",ABS(Solver!O82-Analytical!O26))</f>
        <v>7.2164496600635175E-16</v>
      </c>
      <c r="P67" s="8">
        <f>IF(COUNT(Solver!P82)&lt;1,"",ABS(Solver!P82-Analytical!P26))</f>
        <v>0</v>
      </c>
      <c r="Q67" s="8">
        <f>IF(COUNT(Solver!Q82)&lt;1,"",ABS(Solver!Q82-Analytical!Q26))</f>
        <v>1.9984014443252818E-15</v>
      </c>
      <c r="R67" s="8">
        <f>IF(COUNT(Solver!R82)&lt;1,"",ABS(Solver!R82-Analytical!R26))</f>
        <v>8.8817841970012523E-16</v>
      </c>
      <c r="S67" s="8">
        <f>IF(COUNT(Solver!S82)&lt;1,"",ABS(Solver!S82-Analytical!S26))</f>
        <v>0</v>
      </c>
      <c r="T67" s="8">
        <f>IF(COUNT(Solver!T82)&lt;1,"",ABS(Solver!T82-Analytical!T26))</f>
        <v>8.8817841970012523E-16</v>
      </c>
      <c r="U67" s="8">
        <f>IF(COUNT(Solver!U82)&lt;1,"",ABS(Solver!U82-Analytical!U26))</f>
        <v>4.4408920985006262E-16</v>
      </c>
      <c r="V67" s="8">
        <f>IF(COUNT(Solver!V82)&lt;1,"",ABS(Solver!V82-Analytical!V26))</f>
        <v>0</v>
      </c>
      <c r="W67" s="8">
        <f>IF(COUNT(Solver!W82)&lt;1,"",ABS(Solver!W82-Analytical!W26))</f>
        <v>4.4408920985006262E-16</v>
      </c>
      <c r="X67" s="8" t="str">
        <f>IF(COUNT(Solver!X82)&lt;1,"",ABS(Solver!X82-Analytical!X26))</f>
        <v/>
      </c>
    </row>
    <row r="68" spans="1:24" x14ac:dyDescent="0.25">
      <c r="A68" s="2">
        <v>20</v>
      </c>
      <c r="B68" s="4">
        <f>IF(20&lt;=N,(20-0.5)*dx,"")</f>
        <v>0.92857142857142849</v>
      </c>
      <c r="D68" s="8" t="str">
        <f>IF(COUNT(Solver!D83)&lt;1,"",ABS(Solver!D83-Analytical!D27))</f>
        <v/>
      </c>
      <c r="E68" s="8">
        <f>IF(COUNT(Solver!E83)&lt;1,"",ABS(Solver!E83-Analytical!E27))</f>
        <v>1.7763568394002505E-15</v>
      </c>
      <c r="F68" s="8">
        <f>IF(COUNT(Solver!F83)&lt;1,"",ABS(Solver!F83-Analytical!F27))</f>
        <v>1.3322676295501878E-15</v>
      </c>
      <c r="G68" s="8">
        <f>IF(COUNT(Solver!G83)&lt;1,"",ABS(Solver!G83-Analytical!G27))</f>
        <v>1.3322676295501878E-15</v>
      </c>
      <c r="H68" s="8">
        <f>IF(COUNT(Solver!H83)&lt;1,"",ABS(Solver!H83-Analytical!H27))</f>
        <v>8.8817841970012523E-16</v>
      </c>
      <c r="I68" s="8">
        <f>IF(COUNT(Solver!I83)&lt;1,"",ABS(Solver!I83-Analytical!I27))</f>
        <v>8.8817841970012523E-16</v>
      </c>
      <c r="J68" s="8">
        <f>IF(COUNT(Solver!J83)&lt;1,"",ABS(Solver!J83-Analytical!J27))</f>
        <v>8.8817841970012523E-16</v>
      </c>
      <c r="K68" s="8">
        <f>IF(COUNT(Solver!K83)&lt;1,"",ABS(Solver!K83-Analytical!K27))</f>
        <v>1.3322676295501878E-15</v>
      </c>
      <c r="L68" s="8">
        <f>IF(COUNT(Solver!L83)&lt;1,"",ABS(Solver!L83-Analytical!L27))</f>
        <v>1.7763568394002505E-15</v>
      </c>
      <c r="M68" s="8">
        <f>IF(COUNT(Solver!M83)&lt;1,"",ABS(Solver!M83-Analytical!M27))</f>
        <v>7.2164496600635175E-16</v>
      </c>
      <c r="N68" s="8">
        <f>IF(COUNT(Solver!N83)&lt;1,"",ABS(Solver!N83-Analytical!N27))</f>
        <v>1.8692180473293435E-16</v>
      </c>
      <c r="O68" s="8">
        <f>IF(COUNT(Solver!O83)&lt;1,"",ABS(Solver!O83-Analytical!O27))</f>
        <v>1.7763568394002505E-15</v>
      </c>
      <c r="P68" s="8">
        <f>IF(COUNT(Solver!P83)&lt;1,"",ABS(Solver!P83-Analytical!P27))</f>
        <v>7.7715611723760958E-16</v>
      </c>
      <c r="Q68" s="8">
        <f>IF(COUNT(Solver!Q83)&lt;1,"",ABS(Solver!Q83-Analytical!Q27))</f>
        <v>6.6613381477509392E-16</v>
      </c>
      <c r="R68" s="8">
        <f>IF(COUNT(Solver!R83)&lt;1,"",ABS(Solver!R83-Analytical!R27))</f>
        <v>8.8817841970012523E-16</v>
      </c>
      <c r="S68" s="8">
        <f>IF(COUNT(Solver!S83)&lt;1,"",ABS(Solver!S83-Analytical!S27))</f>
        <v>4.4408920985006262E-16</v>
      </c>
      <c r="T68" s="8">
        <f>IF(COUNT(Solver!T83)&lt;1,"",ABS(Solver!T83-Analytical!T27))</f>
        <v>8.8817841970012523E-16</v>
      </c>
      <c r="U68" s="8">
        <f>IF(COUNT(Solver!U83)&lt;1,"",ABS(Solver!U83-Analytical!U27))</f>
        <v>4.4408920985006262E-16</v>
      </c>
      <c r="V68" s="8">
        <f>IF(COUNT(Solver!V83)&lt;1,"",ABS(Solver!V83-Analytical!V27))</f>
        <v>4.4408920985006262E-16</v>
      </c>
      <c r="W68" s="8">
        <f>IF(COUNT(Solver!W83)&lt;1,"",ABS(Solver!W83-Analytical!W27))</f>
        <v>0</v>
      </c>
      <c r="X68" s="8" t="str">
        <f>IF(COUNT(Solver!X83)&lt;1,"",ABS(Solver!X83-Analytical!X27))</f>
        <v/>
      </c>
    </row>
    <row r="69" spans="1:24" x14ac:dyDescent="0.25">
      <c r="A69" s="2">
        <v>21</v>
      </c>
      <c r="B69" s="4">
        <f>IF(21&lt;=N,(21-0.5)*dx,"")</f>
        <v>0.97619047619047616</v>
      </c>
      <c r="D69" s="8" t="str">
        <f>IF(COUNT(Solver!D84)&lt;1,"",ABS(Solver!D84-Analytical!D28))</f>
        <v/>
      </c>
      <c r="E69" s="8" t="str">
        <f>IF(COUNT(Solver!E84)&lt;1,"",ABS(Solver!E84-Analytical!E28))</f>
        <v/>
      </c>
      <c r="F69" s="8" t="str">
        <f>IF(COUNT(Solver!F84)&lt;1,"",ABS(Solver!F84-Analytical!F28))</f>
        <v/>
      </c>
      <c r="G69" s="8" t="str">
        <f>IF(COUNT(Solver!G84)&lt;1,"",ABS(Solver!G84-Analytical!G28))</f>
        <v/>
      </c>
      <c r="H69" s="8" t="str">
        <f>IF(COUNT(Solver!H84)&lt;1,"",ABS(Solver!H84-Analytical!H28))</f>
        <v/>
      </c>
      <c r="I69" s="8" t="str">
        <f>IF(COUNT(Solver!I84)&lt;1,"",ABS(Solver!I84-Analytical!I28))</f>
        <v/>
      </c>
      <c r="J69" s="8" t="str">
        <f>IF(COUNT(Solver!J84)&lt;1,"",ABS(Solver!J84-Analytical!J28))</f>
        <v/>
      </c>
      <c r="K69" s="8" t="str">
        <f>IF(COUNT(Solver!K84)&lt;1,"",ABS(Solver!K84-Analytical!K28))</f>
        <v/>
      </c>
      <c r="L69" s="8" t="str">
        <f>IF(COUNT(Solver!L84)&lt;1,"",ABS(Solver!L84-Analytical!L28))</f>
        <v/>
      </c>
      <c r="M69" s="8" t="str">
        <f>IF(COUNT(Solver!M84)&lt;1,"",ABS(Solver!M84-Analytical!M28))</f>
        <v/>
      </c>
      <c r="N69" s="8" t="str">
        <f>IF(COUNT(Solver!N84)&lt;1,"",ABS(Solver!N84-Analytical!N28))</f>
        <v/>
      </c>
      <c r="O69" s="8" t="str">
        <f>IF(COUNT(Solver!O84)&lt;1,"",ABS(Solver!O84-Analytical!O28))</f>
        <v/>
      </c>
      <c r="P69" s="8" t="str">
        <f>IF(COUNT(Solver!P84)&lt;1,"",ABS(Solver!P84-Analytical!P28))</f>
        <v/>
      </c>
      <c r="Q69" s="8" t="str">
        <f>IF(COUNT(Solver!Q84)&lt;1,"",ABS(Solver!Q84-Analytical!Q28))</f>
        <v/>
      </c>
      <c r="R69" s="8" t="str">
        <f>IF(COUNT(Solver!R84)&lt;1,"",ABS(Solver!R84-Analytical!R28))</f>
        <v/>
      </c>
      <c r="S69" s="8" t="str">
        <f>IF(COUNT(Solver!S84)&lt;1,"",ABS(Solver!S84-Analytical!S28))</f>
        <v/>
      </c>
      <c r="T69" s="8" t="str">
        <f>IF(COUNT(Solver!T84)&lt;1,"",ABS(Solver!T84-Analytical!T28))</f>
        <v/>
      </c>
      <c r="U69" s="8" t="str">
        <f>IF(COUNT(Solver!U84)&lt;1,"",ABS(Solver!U84-Analytical!U28))</f>
        <v/>
      </c>
      <c r="V69" s="8" t="str">
        <f>IF(COUNT(Solver!V84)&lt;1,"",ABS(Solver!V84-Analytical!V28))</f>
        <v/>
      </c>
      <c r="W69" s="8" t="str">
        <f>IF(COUNT(Solver!W84)&lt;1,"",ABS(Solver!W84-Analytical!W28))</f>
        <v/>
      </c>
      <c r="X69" s="8" t="str">
        <f>IF(COUNT(Solver!X84)&lt;1,"",ABS(Solver!X84-Analytical!X28))</f>
        <v/>
      </c>
    </row>
    <row r="73" spans="1:24" ht="15.75" x14ac:dyDescent="0.25">
      <c r="A73" s="5" t="s">
        <v>86</v>
      </c>
    </row>
    <row r="74" spans="1:24" x14ac:dyDescent="0.25">
      <c r="A74" s="2" t="s">
        <v>48</v>
      </c>
      <c r="D74" s="2">
        <v>1</v>
      </c>
      <c r="E74" s="2">
        <v>2</v>
      </c>
      <c r="F74" s="2">
        <v>3</v>
      </c>
      <c r="G74" s="2">
        <v>4</v>
      </c>
      <c r="H74" s="2">
        <v>5</v>
      </c>
      <c r="I74" s="2">
        <v>6</v>
      </c>
      <c r="J74" s="2">
        <v>7</v>
      </c>
      <c r="K74" s="2">
        <v>8</v>
      </c>
      <c r="L74" s="2">
        <v>9</v>
      </c>
      <c r="M74" s="2">
        <v>10</v>
      </c>
      <c r="N74" s="2">
        <v>11</v>
      </c>
      <c r="O74" s="2">
        <v>12</v>
      </c>
      <c r="P74" s="2">
        <v>13</v>
      </c>
      <c r="Q74" s="2">
        <v>14</v>
      </c>
      <c r="R74" s="2">
        <v>15</v>
      </c>
      <c r="S74" s="2">
        <v>16</v>
      </c>
      <c r="T74" s="2">
        <v>17</v>
      </c>
      <c r="U74" s="2">
        <v>18</v>
      </c>
      <c r="V74" s="2">
        <v>19</v>
      </c>
      <c r="W74" s="2">
        <v>20</v>
      </c>
      <c r="X74" s="2">
        <v>21</v>
      </c>
    </row>
    <row r="75" spans="1:24" x14ac:dyDescent="0.25">
      <c r="A75" s="2" t="s">
        <v>49</v>
      </c>
      <c r="D75" s="4">
        <f>IF(1&lt;=N,(1-0.5)*dx,"")</f>
        <v>2.3809523809523808E-2</v>
      </c>
      <c r="E75" s="4">
        <f>IF(2&lt;=N,(2-0.5)*dx,"")</f>
        <v>7.1428571428571425E-2</v>
      </c>
      <c r="F75" s="4">
        <f>IF(3&lt;=N,(3-0.5)*dx,"")</f>
        <v>0.11904761904761904</v>
      </c>
      <c r="G75" s="4">
        <f>IF(4&lt;=N,(4-0.5)*dx,"")</f>
        <v>0.16666666666666666</v>
      </c>
      <c r="H75" s="4">
        <f>IF(5&lt;=N,(5-0.5)*dx,"")</f>
        <v>0.21428571428571427</v>
      </c>
      <c r="I75" s="4">
        <f>IF(6&lt;=N,(6-0.5)*dx,"")</f>
        <v>0.26190476190476186</v>
      </c>
      <c r="J75" s="4">
        <f>IF(7&lt;=N,(7-0.5)*dx,"")</f>
        <v>0.30952380952380953</v>
      </c>
      <c r="K75" s="4">
        <f>IF(8&lt;=N,(8-0.5)*dx,"")</f>
        <v>0.3571428571428571</v>
      </c>
      <c r="L75" s="4">
        <f>IF(9&lt;=N,(9-0.5)*dx,"")</f>
        <v>0.40476190476190477</v>
      </c>
      <c r="M75" s="4">
        <f>IF(10&lt;=N,(10-0.5)*dx,"")</f>
        <v>0.45238095238095233</v>
      </c>
      <c r="N75" s="4">
        <f>IF(11&lt;=N,(11-0.5)*dx,"")</f>
        <v>0.5</v>
      </c>
      <c r="O75" s="4">
        <f>IF(12&lt;=N,(12-0.5)*dx,"")</f>
        <v>0.54761904761904756</v>
      </c>
      <c r="P75" s="4">
        <f>IF(13&lt;=N,(13-0.5)*dx,"")</f>
        <v>0.59523809523809523</v>
      </c>
      <c r="Q75" s="4">
        <f>IF(14&lt;=N,(14-0.5)*dx,"")</f>
        <v>0.64285714285714279</v>
      </c>
      <c r="R75" s="4">
        <f>IF(15&lt;=N,(15-0.5)*dx,"")</f>
        <v>0.69047619047619047</v>
      </c>
      <c r="S75" s="4">
        <f>IF(16&lt;=N,(16-0.5)*dx,"")</f>
        <v>0.73809523809523803</v>
      </c>
      <c r="T75" s="4">
        <f>IF(17&lt;=N,(17-0.5)*dx,"")</f>
        <v>0.7857142857142857</v>
      </c>
      <c r="U75" s="4">
        <f>IF(18&lt;=N,(18-0.5)*dx,"")</f>
        <v>0.83333333333333326</v>
      </c>
      <c r="V75" s="4">
        <f>IF(19&lt;=N,(19-0.5)*dx,"")</f>
        <v>0.88095238095238093</v>
      </c>
      <c r="W75" s="4">
        <f>IF(20&lt;=N,(20-0.5)*dx,"")</f>
        <v>0.92857142857142849</v>
      </c>
      <c r="X75" s="4">
        <f>IF(21&lt;=N,(21-0.5)*dx,"")</f>
        <v>0.97619047619047616</v>
      </c>
    </row>
    <row r="76" spans="1:24" x14ac:dyDescent="0.25">
      <c r="A76" s="2" t="s">
        <v>50</v>
      </c>
      <c r="B76" s="2" t="s">
        <v>51</v>
      </c>
    </row>
    <row r="77" spans="1:24" x14ac:dyDescent="0.25">
      <c r="A77" s="2">
        <v>1</v>
      </c>
      <c r="B77" s="4">
        <f>IF(1&lt;=N,(1-0.5)*dx,"")</f>
        <v>2.3809523809523808E-2</v>
      </c>
      <c r="D77" s="8" t="str">
        <f>IF(COUNT(Solver!D148)&lt;1,"",ABS(Solver!D148-Analytical!D36))</f>
        <v/>
      </c>
      <c r="E77" s="8" t="str">
        <f>IF(COUNT(Solver!E148)&lt;1,"",ABS(Solver!E148-Analytical!E36))</f>
        <v/>
      </c>
      <c r="F77" s="8" t="str">
        <f>IF(COUNT(Solver!F148)&lt;1,"",ABS(Solver!F148-Analytical!F36))</f>
        <v/>
      </c>
      <c r="G77" s="8" t="str">
        <f>IF(COUNT(Solver!G148)&lt;1,"",ABS(Solver!G148-Analytical!G36))</f>
        <v/>
      </c>
      <c r="H77" s="8" t="str">
        <f>IF(COUNT(Solver!H148)&lt;1,"",ABS(Solver!H148-Analytical!H36))</f>
        <v/>
      </c>
      <c r="I77" s="8" t="str">
        <f>IF(COUNT(Solver!I148)&lt;1,"",ABS(Solver!I148-Analytical!I36))</f>
        <v/>
      </c>
      <c r="J77" s="8" t="str">
        <f>IF(COUNT(Solver!J148)&lt;1,"",ABS(Solver!J148-Analytical!J36))</f>
        <v/>
      </c>
      <c r="K77" s="8" t="str">
        <f>IF(COUNT(Solver!K148)&lt;1,"",ABS(Solver!K148-Analytical!K36))</f>
        <v/>
      </c>
      <c r="L77" s="8" t="str">
        <f>IF(COUNT(Solver!L148)&lt;1,"",ABS(Solver!L148-Analytical!L36))</f>
        <v/>
      </c>
      <c r="M77" s="8" t="str">
        <f>IF(COUNT(Solver!M148)&lt;1,"",ABS(Solver!M148-Analytical!M36))</f>
        <v/>
      </c>
      <c r="N77" s="8" t="str">
        <f>IF(COUNT(Solver!N148)&lt;1,"",ABS(Solver!N148-Analytical!N36))</f>
        <v/>
      </c>
      <c r="O77" s="8" t="str">
        <f>IF(COUNT(Solver!O148)&lt;1,"",ABS(Solver!O148-Analytical!O36))</f>
        <v/>
      </c>
      <c r="P77" s="8" t="str">
        <f>IF(COUNT(Solver!P148)&lt;1,"",ABS(Solver!P148-Analytical!P36))</f>
        <v/>
      </c>
      <c r="Q77" s="8" t="str">
        <f>IF(COUNT(Solver!Q148)&lt;1,"",ABS(Solver!Q148-Analytical!Q36))</f>
        <v/>
      </c>
      <c r="R77" s="8" t="str">
        <f>IF(COUNT(Solver!R148)&lt;1,"",ABS(Solver!R148-Analytical!R36))</f>
        <v/>
      </c>
      <c r="S77" s="8" t="str">
        <f>IF(COUNT(Solver!S148)&lt;1,"",ABS(Solver!S148-Analytical!S36))</f>
        <v/>
      </c>
      <c r="T77" s="8" t="str">
        <f>IF(COUNT(Solver!T148)&lt;1,"",ABS(Solver!T148-Analytical!T36))</f>
        <v/>
      </c>
      <c r="U77" s="8" t="str">
        <f>IF(COUNT(Solver!U148)&lt;1,"",ABS(Solver!U148-Analytical!U36))</f>
        <v/>
      </c>
      <c r="V77" s="8" t="str">
        <f>IF(COUNT(Solver!V148)&lt;1,"",ABS(Solver!V148-Analytical!V36))</f>
        <v/>
      </c>
      <c r="W77" s="8" t="str">
        <f>IF(COUNT(Solver!W148)&lt;1,"",ABS(Solver!W148-Analytical!W36))</f>
        <v/>
      </c>
      <c r="X77" s="8" t="str">
        <f>IF(COUNT(Solver!X148)&lt;1,"",ABS(Solver!X148-Analytical!X36))</f>
        <v/>
      </c>
    </row>
    <row r="78" spans="1:24" x14ac:dyDescent="0.25">
      <c r="A78" s="2">
        <v>2</v>
      </c>
      <c r="B78" s="4">
        <f>IF(2&lt;=N,(2-0.5)*dx,"")</f>
        <v>7.1428571428571425E-2</v>
      </c>
      <c r="D78" s="8" t="str">
        <f>IF(COUNT(Solver!D149)&lt;1,"",ABS(Solver!D149-Analytical!D37))</f>
        <v/>
      </c>
      <c r="E78" s="8">
        <f>IF(COUNT(Solver!E149)&lt;1,"",ABS(Solver!E149-Analytical!E37))</f>
        <v>2.5393184436297567E-3</v>
      </c>
      <c r="F78" s="8">
        <f>IF(COUNT(Solver!F149)&lt;1,"",ABS(Solver!F149-Analytical!F37))</f>
        <v>2.4245740111523695E-3</v>
      </c>
      <c r="G78" s="8">
        <f>IF(COUNT(Solver!G149)&lt;1,"",ABS(Solver!G149-Analytical!G37))</f>
        <v>2.2556686017537464E-3</v>
      </c>
      <c r="H78" s="8">
        <f>IF(COUNT(Solver!H149)&lt;1,"",ABS(Solver!H149-Analytical!H37))</f>
        <v>2.0363752831720205E-3</v>
      </c>
      <c r="I78" s="8">
        <f>IF(COUNT(Solver!I149)&lt;1,"",ABS(Solver!I149-Analytical!I37))</f>
        <v>1.7715927057729286E-3</v>
      </c>
      <c r="J78" s="8">
        <f>IF(COUNT(Solver!J149)&lt;1,"",ABS(Solver!J149-Analytical!J37))</f>
        <v>1.467235674795675E-3</v>
      </c>
      <c r="K78" s="8">
        <f>IF(COUNT(Solver!K149)&lt;1,"",ABS(Solver!K149-Analytical!K37))</f>
        <v>1.1301030233782372E-3</v>
      </c>
      <c r="L78" s="8">
        <f>IF(COUNT(Solver!L149)&lt;1,"",ABS(Solver!L149-Analytical!L37))</f>
        <v>7.6772573785682807E-4</v>
      </c>
      <c r="M78" s="8">
        <f>IF(COUNT(Solver!M149)&lt;1,"",ABS(Solver!M149-Analytical!M37))</f>
        <v>3.8819872798037669E-4</v>
      </c>
      <c r="N78" s="8">
        <f>IF(COUNT(Solver!N149)&lt;1,"",ABS(Solver!N149-Analytical!N37))</f>
        <v>4.2823234567083386E-17</v>
      </c>
      <c r="O78" s="8">
        <f>IF(COUNT(Solver!O149)&lt;1,"",ABS(Solver!O149-Analytical!O37))</f>
        <v>3.8819872798015465E-4</v>
      </c>
      <c r="P78" s="8">
        <f>IF(COUNT(Solver!P149)&lt;1,"",ABS(Solver!P149-Analytical!P37))</f>
        <v>7.6772573785674481E-4</v>
      </c>
      <c r="Q78" s="8">
        <f>IF(COUNT(Solver!Q149)&lt;1,"",ABS(Solver!Q149-Analytical!Q37))</f>
        <v>1.1301030233777376E-3</v>
      </c>
      <c r="R78" s="8">
        <f>IF(COUNT(Solver!R149)&lt;1,"",ABS(Solver!R149-Analytical!R37))</f>
        <v>1.4672356747962856E-3</v>
      </c>
      <c r="S78" s="8">
        <f>IF(COUNT(Solver!S149)&lt;1,"",ABS(Solver!S149-Analytical!S37))</f>
        <v>1.7715927057732062E-3</v>
      </c>
      <c r="T78" s="8">
        <f>IF(COUNT(Solver!T149)&lt;1,"",ABS(Solver!T149-Analytical!T37))</f>
        <v>2.0363752831723536E-3</v>
      </c>
      <c r="U78" s="8">
        <f>IF(COUNT(Solver!U149)&lt;1,"",ABS(Solver!U149-Analytical!U37))</f>
        <v>2.2556686017538574E-3</v>
      </c>
      <c r="V78" s="8">
        <f>IF(COUNT(Solver!V149)&lt;1,"",ABS(Solver!V149-Analytical!V37))</f>
        <v>2.4245740111525915E-3</v>
      </c>
      <c r="W78" s="8">
        <f>IF(COUNT(Solver!W149)&lt;1,"",ABS(Solver!W149-Analytical!W37))</f>
        <v>2.5393184436299787E-3</v>
      </c>
      <c r="X78" s="8" t="str">
        <f>IF(COUNT(Solver!X149)&lt;1,"",ABS(Solver!X149-Analytical!X37))</f>
        <v/>
      </c>
    </row>
    <row r="79" spans="1:24" x14ac:dyDescent="0.25">
      <c r="A79" s="2">
        <v>3</v>
      </c>
      <c r="B79" s="4">
        <f>IF(3&lt;=N,(3-0.5)*dx,"")</f>
        <v>0.11904761904761904</v>
      </c>
      <c r="D79" s="8" t="str">
        <f>IF(COUNT(Solver!D150)&lt;1,"",ABS(Solver!D150-Analytical!D38))</f>
        <v/>
      </c>
      <c r="E79" s="8">
        <f>IF(COUNT(Solver!E150)&lt;1,"",ABS(Solver!E150-Analytical!E38))</f>
        <v>4.1691232590741478E-3</v>
      </c>
      <c r="F79" s="8">
        <f>IF(COUNT(Solver!F150)&lt;1,"",ABS(Solver!F150-Analytical!F38))</f>
        <v>3.9807326759666584E-3</v>
      </c>
      <c r="G79" s="8">
        <f>IF(COUNT(Solver!G150)&lt;1,"",ABS(Solver!G150-Analytical!G38))</f>
        <v>3.703419102840555E-3</v>
      </c>
      <c r="H79" s="8">
        <f>IF(COUNT(Solver!H150)&lt;1,"",ABS(Solver!H150-Analytical!H38))</f>
        <v>3.3433772666731087E-3</v>
      </c>
      <c r="I79" s="8">
        <f>IF(COUNT(Solver!I150)&lt;1,"",ABS(Solver!I150-Analytical!I38))</f>
        <v>2.9086499071326877E-3</v>
      </c>
      <c r="J79" s="8">
        <f>IF(COUNT(Solver!J150)&lt;1,"",ABS(Solver!J150-Analytical!J38))</f>
        <v>2.4089481150660896E-3</v>
      </c>
      <c r="K79" s="8">
        <f>IF(COUNT(Solver!K150)&lt;1,"",ABS(Solver!K150-Analytical!K38))</f>
        <v>1.8554344027767455E-3</v>
      </c>
      <c r="L79" s="8">
        <f>IF(COUNT(Solver!L150)&lt;1,"",ABS(Solver!L150-Analytical!L38))</f>
        <v>1.2604733519412381E-3</v>
      </c>
      <c r="M79" s="8">
        <f>IF(COUNT(Solver!M150)&lt;1,"",ABS(Solver!M150-Analytical!M38))</f>
        <v>6.3735540929357737E-4</v>
      </c>
      <c r="N79" s="8">
        <f>IF(COUNT(Solver!N150)&lt;1,"",ABS(Solver!N150-Analytical!N38))</f>
        <v>7.0308371015969769E-17</v>
      </c>
      <c r="O79" s="8">
        <f>IF(COUNT(Solver!O150)&lt;1,"",ABS(Solver!O150-Analytical!O38))</f>
        <v>6.3735540929321655E-4</v>
      </c>
      <c r="P79" s="8">
        <f>IF(COUNT(Solver!P150)&lt;1,"",ABS(Solver!P150-Analytical!P38))</f>
        <v>1.2604733519411271E-3</v>
      </c>
      <c r="Q79" s="8">
        <f>IF(COUNT(Solver!Q150)&lt;1,"",ABS(Solver!Q150-Analytical!Q38))</f>
        <v>1.8554344027758574E-3</v>
      </c>
      <c r="R79" s="8">
        <f>IF(COUNT(Solver!R150)&lt;1,"",ABS(Solver!R150-Analytical!R38))</f>
        <v>2.4089481150667558E-3</v>
      </c>
      <c r="S79" s="8">
        <f>IF(COUNT(Solver!S150)&lt;1,"",ABS(Solver!S150-Analytical!S38))</f>
        <v>2.9086499071331318E-3</v>
      </c>
      <c r="T79" s="8">
        <f>IF(COUNT(Solver!T150)&lt;1,"",ABS(Solver!T150-Analytical!T38))</f>
        <v>3.3433772666739969E-3</v>
      </c>
      <c r="U79" s="8">
        <f>IF(COUNT(Solver!U150)&lt;1,"",ABS(Solver!U150-Analytical!U38))</f>
        <v>3.7034191028411101E-3</v>
      </c>
      <c r="V79" s="8">
        <f>IF(COUNT(Solver!V150)&lt;1,"",ABS(Solver!V150-Analytical!V38))</f>
        <v>3.9807326759673245E-3</v>
      </c>
      <c r="W79" s="8">
        <f>IF(COUNT(Solver!W150)&lt;1,"",ABS(Solver!W150-Analytical!W38))</f>
        <v>4.169123259074814E-3</v>
      </c>
      <c r="X79" s="8" t="str">
        <f>IF(COUNT(Solver!X150)&lt;1,"",ABS(Solver!X150-Analytical!X38))</f>
        <v/>
      </c>
    </row>
    <row r="80" spans="1:24" x14ac:dyDescent="0.25">
      <c r="A80" s="2">
        <v>4</v>
      </c>
      <c r="B80" s="4">
        <f>IF(4&lt;=N,(4-0.5)*dx,"")</f>
        <v>0.16666666666666666</v>
      </c>
      <c r="D80" s="8" t="str">
        <f>IF(COUNT(Solver!D151)&lt;1,"",ABS(Solver!D151-Analytical!D39))</f>
        <v/>
      </c>
      <c r="E80" s="8">
        <f>IF(COUNT(Solver!E151)&lt;1,"",ABS(Solver!E151-Analytical!E39))</f>
        <v>5.7057967501794593E-3</v>
      </c>
      <c r="F80" s="8">
        <f>IF(COUNT(Solver!F151)&lt;1,"",ABS(Solver!F151-Analytical!F39))</f>
        <v>5.4479683507624443E-3</v>
      </c>
      <c r="G80" s="8">
        <f>IF(COUNT(Solver!G151)&lt;1,"",ABS(Solver!G151-Analytical!G39))</f>
        <v>5.0684413408863538E-3</v>
      </c>
      <c r="H80" s="8">
        <f>IF(COUNT(Solver!H151)&lt;1,"",ABS(Solver!H151-Analytical!H39))</f>
        <v>4.5756937268017772E-3</v>
      </c>
      <c r="I80" s="8">
        <f>IF(COUNT(Solver!I151)&lt;1,"",ABS(Solver!I151-Analytical!I39))</f>
        <v>3.9807326759662143E-3</v>
      </c>
      <c r="J80" s="8">
        <f>IF(COUNT(Solver!J151)&lt;1,"",ABS(Solver!J151-Analytical!J39))</f>
        <v>3.2968486351129256E-3</v>
      </c>
      <c r="K80" s="8">
        <f>IF(COUNT(Solver!K151)&lt;1,"",ABS(Solver!K151-Analytical!K39))</f>
        <v>2.5393184436303118E-3</v>
      </c>
      <c r="L80" s="8">
        <f>IF(COUNT(Solver!L151)&lt;1,"",ABS(Solver!L151-Analytical!L39))</f>
        <v>1.7250640742126899E-3</v>
      </c>
      <c r="M80" s="8">
        <f>IF(COUNT(Solver!M151)&lt;1,"",ABS(Solver!M151-Analytical!M39))</f>
        <v>8.7227462396088917E-4</v>
      </c>
      <c r="N80" s="8">
        <f>IF(COUNT(Solver!N151)&lt;1,"",ABS(Solver!N151-Analytical!N39))</f>
        <v>9.6222934637445151E-17</v>
      </c>
      <c r="O80" s="8">
        <f>IF(COUNT(Solver!O151)&lt;1,"",ABS(Solver!O151-Analytical!O39))</f>
        <v>8.7227462396038957E-4</v>
      </c>
      <c r="P80" s="8">
        <f>IF(COUNT(Solver!P151)&lt;1,"",ABS(Solver!P151-Analytical!P39))</f>
        <v>1.725064074213134E-3</v>
      </c>
      <c r="Q80" s="8">
        <f>IF(COUNT(Solver!Q151)&lt;1,"",ABS(Solver!Q151-Analytical!Q39))</f>
        <v>2.5393184436293126E-3</v>
      </c>
      <c r="R80" s="8">
        <f>IF(COUNT(Solver!R151)&lt;1,"",ABS(Solver!R151-Analytical!R39))</f>
        <v>3.2968486351135917E-3</v>
      </c>
      <c r="S80" s="8">
        <f>IF(COUNT(Solver!S151)&lt;1,"",ABS(Solver!S151-Analytical!S39))</f>
        <v>3.9807326759666584E-3</v>
      </c>
      <c r="T80" s="8">
        <f>IF(COUNT(Solver!T151)&lt;1,"",ABS(Solver!T151-Analytical!T39))</f>
        <v>4.5756937268024434E-3</v>
      </c>
      <c r="U80" s="8">
        <f>IF(COUNT(Solver!U151)&lt;1,"",ABS(Solver!U151-Analytical!U39))</f>
        <v>5.0684413408867979E-3</v>
      </c>
      <c r="V80" s="8">
        <f>IF(COUNT(Solver!V151)&lt;1,"",ABS(Solver!V151-Analytical!V39))</f>
        <v>5.4479683507635546E-3</v>
      </c>
      <c r="W80" s="8">
        <f>IF(COUNT(Solver!W151)&lt;1,"",ABS(Solver!W151-Analytical!W39))</f>
        <v>5.7057967501801254E-3</v>
      </c>
      <c r="X80" s="8" t="str">
        <f>IF(COUNT(Solver!X151)&lt;1,"",ABS(Solver!X151-Analytical!X39))</f>
        <v/>
      </c>
    </row>
    <row r="81" spans="1:24" x14ac:dyDescent="0.25">
      <c r="A81" s="2">
        <v>5</v>
      </c>
      <c r="B81" s="4">
        <f>IF(5&lt;=N,(5-0.5)*dx,"")</f>
        <v>0.21428571428571427</v>
      </c>
      <c r="D81" s="8" t="str">
        <f>IF(COUNT(Solver!D152)&lt;1,"",ABS(Solver!D152-Analytical!D40))</f>
        <v/>
      </c>
      <c r="E81" s="8">
        <f>IF(COUNT(Solver!E152)&lt;1,"",ABS(Solver!E152-Analytical!E40))</f>
        <v>7.1150121704308678E-3</v>
      </c>
      <c r="F81" s="8">
        <f>IF(COUNT(Solver!F152)&lt;1,"",ABS(Solver!F152-Analytical!F40))</f>
        <v>6.7935054150995988E-3</v>
      </c>
      <c r="G81" s="8">
        <f>IF(COUNT(Solver!G152)&lt;1,"",ABS(Solver!G152-Analytical!G40))</f>
        <v>6.3202429747239997E-3</v>
      </c>
      <c r="H81" s="8">
        <f>IF(COUNT(Solver!H152)&lt;1,"",ABS(Solver!H152-Analytical!H40))</f>
        <v>5.7057967501796814E-3</v>
      </c>
      <c r="I81" s="8">
        <f>IF(COUNT(Solver!I152)&lt;1,"",ABS(Solver!I152-Analytical!I40))</f>
        <v>4.9638924547816821E-3</v>
      </c>
      <c r="J81" s="8">
        <f>IF(COUNT(Solver!J152)&lt;1,"",ABS(Solver!J152-Analytical!J40))</f>
        <v>4.1111030045293262E-3</v>
      </c>
      <c r="K81" s="8">
        <f>IF(COUNT(Solver!K152)&lt;1,"",ABS(Solver!K152-Analytical!K40))</f>
        <v>3.1664783065507018E-3</v>
      </c>
      <c r="L81" s="8">
        <f>IF(COUNT(Solver!L152)&lt;1,"",ABS(Solver!L152-Analytical!L40))</f>
        <v>2.1511197156491857E-3</v>
      </c>
      <c r="M81" s="8">
        <f>IF(COUNT(Solver!M152)&lt;1,"",ABS(Solver!M152-Analytical!M40))</f>
        <v>1.0877086649195844E-3</v>
      </c>
      <c r="N81" s="8">
        <f>IF(COUNT(Solver!N152)&lt;1,"",ABS(Solver!N152-Analytical!N40))</f>
        <v>1.1998803690273311E-16</v>
      </c>
      <c r="O81" s="8">
        <f>IF(COUNT(Solver!O152)&lt;1,"",ABS(Solver!O152-Analytical!O40))</f>
        <v>1.0877086649189183E-3</v>
      </c>
      <c r="P81" s="8">
        <f>IF(COUNT(Solver!P152)&lt;1,"",ABS(Solver!P152-Analytical!P40))</f>
        <v>2.1511197156489636E-3</v>
      </c>
      <c r="Q81" s="8">
        <f>IF(COUNT(Solver!Q152)&lt;1,"",ABS(Solver!Q152-Analytical!Q40))</f>
        <v>3.1664783065501467E-3</v>
      </c>
      <c r="R81" s="8">
        <f>IF(COUNT(Solver!R152)&lt;1,"",ABS(Solver!R152-Analytical!R40))</f>
        <v>4.1111030045311026E-3</v>
      </c>
      <c r="S81" s="8">
        <f>IF(COUNT(Solver!S152)&lt;1,"",ABS(Solver!S152-Analytical!S40))</f>
        <v>4.9638924547819041E-3</v>
      </c>
      <c r="T81" s="8">
        <f>IF(COUNT(Solver!T152)&lt;1,"",ABS(Solver!T152-Analytical!T40))</f>
        <v>5.7057967501810136E-3</v>
      </c>
      <c r="U81" s="8">
        <f>IF(COUNT(Solver!U152)&lt;1,"",ABS(Solver!U152-Analytical!U40))</f>
        <v>6.3202429747239997E-3</v>
      </c>
      <c r="V81" s="8">
        <f>IF(COUNT(Solver!V152)&lt;1,"",ABS(Solver!V152-Analytical!V40))</f>
        <v>6.793505415100265E-3</v>
      </c>
      <c r="W81" s="8">
        <f>IF(COUNT(Solver!W152)&lt;1,"",ABS(Solver!W152-Analytical!W40))</f>
        <v>7.1150121704322E-3</v>
      </c>
      <c r="X81" s="8" t="str">
        <f>IF(COUNT(Solver!X152)&lt;1,"",ABS(Solver!X152-Analytical!X40))</f>
        <v/>
      </c>
    </row>
    <row r="82" spans="1:24" x14ac:dyDescent="0.25">
      <c r="A82" s="2">
        <v>6</v>
      </c>
      <c r="B82" s="4">
        <f>IF(6&lt;=N,(6-0.5)*dx,"")</f>
        <v>0.26190476190476186</v>
      </c>
      <c r="D82" s="8" t="str">
        <f>IF(COUNT(Solver!D153)&lt;1,"",ABS(Solver!D153-Analytical!D41))</f>
        <v/>
      </c>
      <c r="E82" s="8">
        <f>IF(COUNT(Solver!E153)&lt;1,"",ABS(Solver!E153-Analytical!E41))</f>
        <v>8.3652899759991683E-3</v>
      </c>
      <c r="F82" s="8">
        <f>IF(COUNT(Solver!F153)&lt;1,"",ABS(Solver!F153-Analytical!F41))</f>
        <v>7.9872867943926451E-3</v>
      </c>
      <c r="G82" s="8">
        <f>IF(COUNT(Solver!G153)&lt;1,"",ABS(Solver!G153-Analytical!G41))</f>
        <v>7.4308608243929264E-3</v>
      </c>
      <c r="H82" s="8">
        <f>IF(COUNT(Solver!H153)&lt;1,"",ABS(Solver!H153-Analytical!H41))</f>
        <v>6.7084417027041265E-3</v>
      </c>
      <c r="I82" s="8">
        <f>IF(COUNT(Solver!I153)&lt;1,"",ABS(Solver!I153-Analytical!I41))</f>
        <v>5.8361670787430153E-3</v>
      </c>
      <c r="J82" s="8">
        <f>IF(COUNT(Solver!J153)&lt;1,"",ABS(Solver!J153-Analytical!J41))</f>
        <v>4.8335221262183481E-3</v>
      </c>
      <c r="K82" s="8">
        <f>IF(COUNT(Solver!K153)&lt;1,"",ABS(Solver!K153-Analytical!K41))</f>
        <v>3.7229042765504206E-3</v>
      </c>
      <c r="L82" s="8">
        <f>IF(COUNT(Solver!L153)&lt;1,"",ABS(Solver!L153-Analytical!L41))</f>
        <v>2.5291228972552648E-3</v>
      </c>
      <c r="M82" s="8">
        <f>IF(COUNT(Solver!M153)&lt;1,"",ABS(Solver!M153-Analytical!M41))</f>
        <v>1.2788450916881855E-3</v>
      </c>
      <c r="N82" s="8">
        <f>IF(COUNT(Solver!N153)&lt;1,"",ABS(Solver!N153-Analytical!N41))</f>
        <v>1.4107280469787639E-16</v>
      </c>
      <c r="O82" s="8">
        <f>IF(COUNT(Solver!O153)&lt;1,"",ABS(Solver!O153-Analytical!O41))</f>
        <v>1.2788450916874639E-3</v>
      </c>
      <c r="P82" s="8">
        <f>IF(COUNT(Solver!P153)&lt;1,"",ABS(Solver!P153-Analytical!P41))</f>
        <v>2.529122897256264E-3</v>
      </c>
      <c r="Q82" s="8">
        <f>IF(COUNT(Solver!Q153)&lt;1,"",ABS(Solver!Q153-Analytical!Q41))</f>
        <v>3.7229042765497544E-3</v>
      </c>
      <c r="R82" s="8">
        <f>IF(COUNT(Solver!R153)&lt;1,"",ABS(Solver!R153-Analytical!R41))</f>
        <v>4.8335221262196804E-3</v>
      </c>
      <c r="S82" s="8">
        <f>IF(COUNT(Solver!S153)&lt;1,"",ABS(Solver!S153-Analytical!S41))</f>
        <v>5.8361670787430153E-3</v>
      </c>
      <c r="T82" s="8">
        <f>IF(COUNT(Solver!T153)&lt;1,"",ABS(Solver!T153-Analytical!T41))</f>
        <v>6.7084417027047927E-3</v>
      </c>
      <c r="U82" s="8">
        <f>IF(COUNT(Solver!U153)&lt;1,"",ABS(Solver!U153-Analytical!U41))</f>
        <v>7.4308608243935925E-3</v>
      </c>
      <c r="V82" s="8">
        <f>IF(COUNT(Solver!V153)&lt;1,"",ABS(Solver!V153-Analytical!V41))</f>
        <v>7.9872867943935333E-3</v>
      </c>
      <c r="W82" s="8">
        <f>IF(COUNT(Solver!W153)&lt;1,"",ABS(Solver!W153-Analytical!W41))</f>
        <v>8.3652899760005006E-3</v>
      </c>
      <c r="X82" s="8" t="str">
        <f>IF(COUNT(Solver!X153)&lt;1,"",ABS(Solver!X153-Analytical!X41))</f>
        <v/>
      </c>
    </row>
    <row r="83" spans="1:24" x14ac:dyDescent="0.25">
      <c r="A83" s="2">
        <v>7</v>
      </c>
      <c r="B83" s="4">
        <f>IF(7&lt;=N,(7-0.5)*dx,"")</f>
        <v>0.30952380952380953</v>
      </c>
      <c r="D83" s="8" t="str">
        <f>IF(COUNT(Solver!D154)&lt;1,"",ABS(Solver!D154-Analytical!D42))</f>
        <v/>
      </c>
      <c r="E83" s="8">
        <f>IF(COUNT(Solver!E154)&lt;1,"",ABS(Solver!E154-Analytical!E42))</f>
        <v>9.4287010267288807E-3</v>
      </c>
      <c r="F83" s="8">
        <f>IF(COUNT(Solver!F154)&lt;1,"",ABS(Solver!F154-Analytical!F42))</f>
        <v>9.0026453852933841E-3</v>
      </c>
      <c r="G83" s="8">
        <f>IF(COUNT(Solver!G154)&lt;1,"",ABS(Solver!G154-Analytical!G42))</f>
        <v>8.375485522372994E-3</v>
      </c>
      <c r="H83" s="8">
        <f>IF(COUNT(Solver!H154)&lt;1,"",ABS(Solver!H154-Analytical!H42))</f>
        <v>7.5612311529562604E-3</v>
      </c>
      <c r="I83" s="8">
        <f>IF(COUNT(Solver!I154)&lt;1,"",ABS(Solver!I154-Analytical!I42))</f>
        <v>6.5780713741405705E-3</v>
      </c>
      <c r="J83" s="8">
        <f>IF(COUNT(Solver!J154)&lt;1,"",ABS(Solver!J154-Analytical!J42))</f>
        <v>5.4479683507620003E-3</v>
      </c>
      <c r="K83" s="8">
        <f>IF(COUNT(Solver!K154)&lt;1,"",ABS(Solver!K154-Analytical!K42))</f>
        <v>4.1961667169263528E-3</v>
      </c>
      <c r="L83" s="8">
        <f>IF(COUNT(Solver!L154)&lt;1,"",ABS(Solver!L154-Analytical!L42))</f>
        <v>2.8506296525879771E-3</v>
      </c>
      <c r="M83" s="8">
        <f>IF(COUNT(Solver!M154)&lt;1,"",ABS(Solver!M154-Analytical!M42))</f>
        <v>1.4414142323364021E-3</v>
      </c>
      <c r="N83" s="8">
        <f>IF(COUNT(Solver!N154)&lt;1,"",ABS(Solver!N154-Analytical!N42))</f>
        <v>1.5900623915186158E-16</v>
      </c>
      <c r="O83" s="8">
        <f>IF(COUNT(Solver!O154)&lt;1,"",ABS(Solver!O154-Analytical!O42))</f>
        <v>1.4414142323356249E-3</v>
      </c>
      <c r="P83" s="8">
        <f>IF(COUNT(Solver!P154)&lt;1,"",ABS(Solver!P154-Analytical!P42))</f>
        <v>2.8506296525888652E-3</v>
      </c>
      <c r="Q83" s="8">
        <f>IF(COUNT(Solver!Q154)&lt;1,"",ABS(Solver!Q154-Analytical!Q42))</f>
        <v>4.1961667169256867E-3</v>
      </c>
      <c r="R83" s="8">
        <f>IF(COUNT(Solver!R154)&lt;1,"",ABS(Solver!R154-Analytical!R42))</f>
        <v>5.4479683507633325E-3</v>
      </c>
      <c r="S83" s="8">
        <f>IF(COUNT(Solver!S154)&lt;1,"",ABS(Solver!S154-Analytical!S42))</f>
        <v>6.5780713741405705E-3</v>
      </c>
      <c r="T83" s="8">
        <f>IF(COUNT(Solver!T154)&lt;1,"",ABS(Solver!T154-Analytical!T42))</f>
        <v>7.5612311529575926E-3</v>
      </c>
      <c r="U83" s="8">
        <f>IF(COUNT(Solver!U154)&lt;1,"",ABS(Solver!U154-Analytical!U42))</f>
        <v>8.3754855223734381E-3</v>
      </c>
      <c r="V83" s="8">
        <f>IF(COUNT(Solver!V154)&lt;1,"",ABS(Solver!V154-Analytical!V42))</f>
        <v>9.0026453852942723E-3</v>
      </c>
      <c r="W83" s="8">
        <f>IF(COUNT(Solver!W154)&lt;1,"",ABS(Solver!W154-Analytical!W42))</f>
        <v>9.4287010267302129E-3</v>
      </c>
      <c r="X83" s="8" t="str">
        <f>IF(COUNT(Solver!X154)&lt;1,"",ABS(Solver!X154-Analytical!X42))</f>
        <v/>
      </c>
    </row>
    <row r="84" spans="1:24" x14ac:dyDescent="0.25">
      <c r="A84" s="2">
        <v>8</v>
      </c>
      <c r="B84" s="4">
        <f>IF(8&lt;=N,(8-0.5)*dx,"")</f>
        <v>0.3571428571428571</v>
      </c>
      <c r="D84" s="8" t="str">
        <f>IF(COUNT(Solver!D155)&lt;1,"",ABS(Solver!D155-Analytical!D43))</f>
        <v/>
      </c>
      <c r="E84" s="8">
        <f>IF(COUNT(Solver!E155)&lt;1,"",ABS(Solver!E155-Analytical!E43))</f>
        <v>1.0281490476980792E-2</v>
      </c>
      <c r="F84" s="8">
        <f>IF(COUNT(Solver!F155)&lt;1,"",ABS(Solver!F155-Analytical!F43))</f>
        <v>9.8168997547101178E-3</v>
      </c>
      <c r="G84" s="8">
        <f>IF(COUNT(Solver!G155)&lt;1,"",ABS(Solver!G155-Analytical!G43))</f>
        <v>9.133015713856274E-3</v>
      </c>
      <c r="H84" s="8">
        <f>IF(COUNT(Solver!H155)&lt;1,"",ABS(Solver!H155-Analytical!H43))</f>
        <v>8.2451151938096601E-3</v>
      </c>
      <c r="I84" s="8">
        <f>IF(COUNT(Solver!I155)&lt;1,"",ABS(Solver!I155-Analytical!I43))</f>
        <v>7.1730324249756894E-3</v>
      </c>
      <c r="J84" s="8">
        <f>IF(COUNT(Solver!J155)&lt;1,"",ABS(Solver!J155-Analytical!J43))</f>
        <v>5.9407159648467989E-3</v>
      </c>
      <c r="K84" s="8">
        <f>IF(COUNT(Solver!K155)&lt;1,"",ABS(Solver!K155-Analytical!K43))</f>
        <v>4.5756937268024434E-3</v>
      </c>
      <c r="L84" s="8">
        <f>IF(COUNT(Solver!L155)&lt;1,"",ABS(Solver!L155-Analytical!L43))</f>
        <v>3.1084580520044369E-3</v>
      </c>
      <c r="M84" s="8">
        <f>IF(COUNT(Solver!M155)&lt;1,"",ABS(Solver!M155-Analytical!M43))</f>
        <v>1.5717845609003467E-3</v>
      </c>
      <c r="N84" s="8">
        <f>IF(COUNT(Solver!N155)&lt;1,"",ABS(Solver!N155-Analytical!N43))</f>
        <v>1.7338773697309486E-16</v>
      </c>
      <c r="O84" s="8">
        <f>IF(COUNT(Solver!O155)&lt;1,"",ABS(Solver!O155-Analytical!O43))</f>
        <v>1.5717845608994585E-3</v>
      </c>
      <c r="P84" s="8">
        <f>IF(COUNT(Solver!P155)&lt;1,"",ABS(Solver!P155-Analytical!P43))</f>
        <v>3.1084580520053251E-3</v>
      </c>
      <c r="Q84" s="8">
        <f>IF(COUNT(Solver!Q155)&lt;1,"",ABS(Solver!Q155-Analytical!Q43))</f>
        <v>4.5756937268004449E-3</v>
      </c>
      <c r="R84" s="8">
        <f>IF(COUNT(Solver!R155)&lt;1,"",ABS(Solver!R155-Analytical!R43))</f>
        <v>5.9407159648481311E-3</v>
      </c>
      <c r="S84" s="8">
        <f>IF(COUNT(Solver!S155)&lt;1,"",ABS(Solver!S155-Analytical!S43))</f>
        <v>7.1730324249767996E-3</v>
      </c>
      <c r="T84" s="8">
        <f>IF(COUNT(Solver!T155)&lt;1,"",ABS(Solver!T155-Analytical!T43))</f>
        <v>8.2451151938109923E-3</v>
      </c>
      <c r="U84" s="8">
        <f>IF(COUNT(Solver!U155)&lt;1,"",ABS(Solver!U155-Analytical!U43))</f>
        <v>9.1330157138567181E-3</v>
      </c>
      <c r="V84" s="8">
        <f>IF(COUNT(Solver!V155)&lt;1,"",ABS(Solver!V155-Analytical!V43))</f>
        <v>9.81689975471145E-3</v>
      </c>
      <c r="W84" s="8">
        <f>IF(COUNT(Solver!W155)&lt;1,"",ABS(Solver!W155-Analytical!W43))</f>
        <v>1.0281490476982569E-2</v>
      </c>
      <c r="X84" s="8" t="str">
        <f>IF(COUNT(Solver!X155)&lt;1,"",ABS(Solver!X155-Analytical!X43))</f>
        <v/>
      </c>
    </row>
    <row r="85" spans="1:24" x14ac:dyDescent="0.25">
      <c r="A85" s="2">
        <v>9</v>
      </c>
      <c r="B85" s="4">
        <f>IF(9&lt;=N,(9-0.5)*dx,"")</f>
        <v>0.40476190476190477</v>
      </c>
      <c r="D85" s="8" t="str">
        <f>IF(COUNT(Solver!D156)&lt;1,"",ABS(Solver!D156-Analytical!D44))</f>
        <v/>
      </c>
      <c r="E85" s="8">
        <f>IF(COUNT(Solver!E156)&lt;1,"",ABS(Solver!E156-Analytical!E44))</f>
        <v>1.0904608419628481E-2</v>
      </c>
      <c r="F85" s="8">
        <f>IF(COUNT(Solver!F156)&lt;1,"",ABS(Solver!F156-Analytical!F44))</f>
        <v>1.041186080554457E-2</v>
      </c>
      <c r="G85" s="8">
        <f>IF(COUNT(Solver!G156)&lt;1,"",ABS(Solver!G156-Analytical!G44))</f>
        <v>9.6865294261467838E-3</v>
      </c>
      <c r="H85" s="8">
        <f>IF(COUNT(Solver!H156)&lt;1,"",ABS(Solver!H156-Analytical!H44))</f>
        <v>8.7448169858763691E-3</v>
      </c>
      <c r="I85" s="8">
        <f>IF(COUNT(Solver!I156)&lt;1,"",ABS(Solver!I156-Analytical!I44))</f>
        <v>7.6077597845158884E-3</v>
      </c>
      <c r="J85" s="8">
        <f>IF(COUNT(Solver!J156)&lt;1,"",ABS(Solver!J156-Analytical!J44))</f>
        <v>6.300757801013912E-3</v>
      </c>
      <c r="K85" s="8">
        <f>IF(COUNT(Solver!K156)&lt;1,"",ABS(Solver!K156-Analytical!K44))</f>
        <v>4.8530072999284357E-3</v>
      </c>
      <c r="L85" s="8">
        <f>IF(COUNT(Solver!L156)&lt;1,"",ABS(Solver!L156-Analytical!L44))</f>
        <v>3.2968486351133697E-3</v>
      </c>
      <c r="M85" s="8">
        <f>IF(COUNT(Solver!M156)&lt;1,"",ABS(Solver!M156-Analytical!M44))</f>
        <v>1.6670438196688675E-3</v>
      </c>
      <c r="N85" s="8">
        <f>IF(COUNT(Solver!N156)&lt;1,"",ABS(Solver!N156-Analytical!N44))</f>
        <v>1.8389603926495978E-16</v>
      </c>
      <c r="O85" s="8">
        <f>IF(COUNT(Solver!O156)&lt;1,"",ABS(Solver!O156-Analytical!O44))</f>
        <v>1.6670438196679238E-3</v>
      </c>
      <c r="P85" s="8">
        <f>IF(COUNT(Solver!P156)&lt;1,"",ABS(Solver!P156-Analytical!P44))</f>
        <v>3.2968486351141468E-3</v>
      </c>
      <c r="Q85" s="8">
        <f>IF(COUNT(Solver!Q156)&lt;1,"",ABS(Solver!Q156-Analytical!Q44))</f>
        <v>4.8530072999264373E-3</v>
      </c>
      <c r="R85" s="8">
        <f>IF(COUNT(Solver!R156)&lt;1,"",ABS(Solver!R156-Analytical!R44))</f>
        <v>6.3007578010152443E-3</v>
      </c>
      <c r="S85" s="8">
        <f>IF(COUNT(Solver!S156)&lt;1,"",ABS(Solver!S156-Analytical!S44))</f>
        <v>7.6077597845167766E-3</v>
      </c>
      <c r="T85" s="8">
        <f>IF(COUNT(Solver!T156)&lt;1,"",ABS(Solver!T156-Analytical!T44))</f>
        <v>8.7448169858781455E-3</v>
      </c>
      <c r="U85" s="8">
        <f>IF(COUNT(Solver!U156)&lt;1,"",ABS(Solver!U156-Analytical!U44))</f>
        <v>9.6865294261472279E-3</v>
      </c>
      <c r="V85" s="8">
        <f>IF(COUNT(Solver!V156)&lt;1,"",ABS(Solver!V156-Analytical!V44))</f>
        <v>1.0411860805545903E-2</v>
      </c>
      <c r="W85" s="8">
        <f>IF(COUNT(Solver!W156)&lt;1,"",ABS(Solver!W156-Analytical!W44))</f>
        <v>1.0904608419630257E-2</v>
      </c>
      <c r="X85" s="8" t="str">
        <f>IF(COUNT(Solver!X156)&lt;1,"",ABS(Solver!X156-Analytical!X44))</f>
        <v/>
      </c>
    </row>
    <row r="86" spans="1:24" x14ac:dyDescent="0.25">
      <c r="A86" s="2">
        <v>10</v>
      </c>
      <c r="B86" s="4">
        <f>IF(10&lt;=N,(10-0.5)*dx,"")</f>
        <v>0.45238095238095233</v>
      </c>
      <c r="D86" s="8" t="str">
        <f>IF(COUNT(Solver!D157)&lt;1,"",ABS(Solver!D157-Analytical!D45))</f>
        <v/>
      </c>
      <c r="E86" s="8">
        <f>IF(COUNT(Solver!E157)&lt;1,"",ABS(Solver!E157-Analytical!E45))</f>
        <v>1.1284135429505238E-2</v>
      </c>
      <c r="F86" s="8">
        <f>IF(COUNT(Solver!F157)&lt;1,"",ABS(Solver!F157-Analytical!F45))</f>
        <v>1.0774238091065591E-2</v>
      </c>
      <c r="G86" s="8">
        <f>IF(COUNT(Solver!G157)&lt;1,"",ABS(Solver!G157-Analytical!G45))</f>
        <v>1.0023662077564222E-2</v>
      </c>
      <c r="H86" s="8">
        <f>IF(COUNT(Solver!H157)&lt;1,"",ABS(Solver!H157-Analytical!H45))</f>
        <v>9.0491740168525681E-3</v>
      </c>
      <c r="I86" s="8">
        <f>IF(COUNT(Solver!I157)&lt;1,"",ABS(Solver!I157-Analytical!I45))</f>
        <v>7.8725423619143697E-3</v>
      </c>
      <c r="J86" s="8">
        <f>IF(COUNT(Solver!J157)&lt;1,"",ABS(Solver!J157-Analytical!J45))</f>
        <v>6.5200511195959709E-3</v>
      </c>
      <c r="K86" s="8">
        <f>IF(COUNT(Solver!K157)&lt;1,"",ABS(Solver!K157-Analytical!K45))</f>
        <v>5.021912709327836E-3</v>
      </c>
      <c r="L86" s="8">
        <f>IF(COUNT(Solver!L157)&lt;1,"",ABS(Solver!L157-Analytical!L45))</f>
        <v>3.4115930675910899E-3</v>
      </c>
      <c r="M86" s="8">
        <f>IF(COUNT(Solver!M157)&lt;1,"",ABS(Solver!M157-Analytical!M45))</f>
        <v>1.7250640742125789E-3</v>
      </c>
      <c r="N86" s="8">
        <f>IF(COUNT(Solver!N157)&lt;1,"",ABS(Solver!N157-Analytical!N45))</f>
        <v>1.9029640791870288E-16</v>
      </c>
      <c r="O86" s="8">
        <f>IF(COUNT(Solver!O157)&lt;1,"",ABS(Solver!O157-Analytical!O45))</f>
        <v>1.7250640742115797E-3</v>
      </c>
      <c r="P86" s="8">
        <f>IF(COUNT(Solver!P157)&lt;1,"",ABS(Solver!P157-Analytical!P45))</f>
        <v>3.4115930675918671E-3</v>
      </c>
      <c r="Q86" s="8">
        <f>IF(COUNT(Solver!Q157)&lt;1,"",ABS(Solver!Q157-Analytical!Q45))</f>
        <v>5.0219127093260596E-3</v>
      </c>
      <c r="R86" s="8">
        <f>IF(COUNT(Solver!R157)&lt;1,"",ABS(Solver!R157-Analytical!R45))</f>
        <v>6.5200511195973032E-3</v>
      </c>
      <c r="S86" s="8">
        <f>IF(COUNT(Solver!S157)&lt;1,"",ABS(Solver!S157-Analytical!S45))</f>
        <v>7.8725423619152579E-3</v>
      </c>
      <c r="T86" s="8">
        <f>IF(COUNT(Solver!T157)&lt;1,"",ABS(Solver!T157-Analytical!T45))</f>
        <v>9.0491740168543444E-3</v>
      </c>
      <c r="U86" s="8">
        <f>IF(COUNT(Solver!U157)&lt;1,"",ABS(Solver!U157-Analytical!U45))</f>
        <v>1.002366207756511E-2</v>
      </c>
      <c r="V86" s="8">
        <f>IF(COUNT(Solver!V157)&lt;1,"",ABS(Solver!V157-Analytical!V45))</f>
        <v>1.0774238091067811E-2</v>
      </c>
      <c r="W86" s="8">
        <f>IF(COUNT(Solver!W157)&lt;1,"",ABS(Solver!W157-Analytical!W45))</f>
        <v>1.128413542950657E-2</v>
      </c>
      <c r="X86" s="8" t="str">
        <f>IF(COUNT(Solver!X157)&lt;1,"",ABS(Solver!X157-Analytical!X45))</f>
        <v/>
      </c>
    </row>
    <row r="87" spans="1:24" x14ac:dyDescent="0.25">
      <c r="A87" s="2">
        <v>11</v>
      </c>
      <c r="B87" s="4">
        <f>IF(11&lt;=N,(11-0.5)*dx,"")</f>
        <v>0.5</v>
      </c>
      <c r="D87" s="8" t="str">
        <f>IF(COUNT(Solver!D158)&lt;1,"",ABS(Solver!D158-Analytical!D46))</f>
        <v/>
      </c>
      <c r="E87" s="8">
        <f>IF(COUNT(Solver!E158)&lt;1,"",ABS(Solver!E158-Analytical!E46))</f>
        <v>1.1411593500358919E-2</v>
      </c>
      <c r="F87" s="8">
        <f>IF(COUNT(Solver!F158)&lt;1,"",ABS(Solver!F158-Analytical!F46))</f>
        <v>1.0895936701525333E-2</v>
      </c>
      <c r="G87" s="8">
        <f>IF(COUNT(Solver!G158)&lt;1,"",ABS(Solver!G158-Analytical!G46))</f>
        <v>1.0136882681772708E-2</v>
      </c>
      <c r="H87" s="8">
        <f>IF(COUNT(Solver!H158)&lt;1,"",ABS(Solver!H158-Analytical!H46))</f>
        <v>9.1513874536035544E-3</v>
      </c>
      <c r="I87" s="8">
        <f>IF(COUNT(Solver!I158)&lt;1,"",ABS(Solver!I158-Analytical!I46))</f>
        <v>7.9614653519328726E-3</v>
      </c>
      <c r="J87" s="8">
        <f>IF(COUNT(Solver!J158)&lt;1,"",ABS(Solver!J158-Analytical!J46))</f>
        <v>6.5936972702260732E-3</v>
      </c>
      <c r="K87" s="8">
        <f>IF(COUNT(Solver!K158)&lt;1,"",ABS(Solver!K158-Analytical!K46))</f>
        <v>5.0786368872608456E-3</v>
      </c>
      <c r="L87" s="8">
        <f>IF(COUNT(Solver!L158)&lt;1,"",ABS(Solver!L158-Analytical!L46))</f>
        <v>3.4501281484254909E-3</v>
      </c>
      <c r="M87" s="8">
        <f>IF(COUNT(Solver!M158)&lt;1,"",ABS(Solver!M158-Analytical!M46))</f>
        <v>1.7445492479218339E-3</v>
      </c>
      <c r="N87" s="8">
        <f>IF(COUNT(Solver!N158)&lt;1,"",ABS(Solver!N158-Analytical!N46))</f>
        <v>1.9244586927489033E-16</v>
      </c>
      <c r="O87" s="8">
        <f>IF(COUNT(Solver!O158)&lt;1,"",ABS(Solver!O158-Analytical!O46))</f>
        <v>1.7445492479208347E-3</v>
      </c>
      <c r="P87" s="8">
        <f>IF(COUNT(Solver!P158)&lt;1,"",ABS(Solver!P158-Analytical!P46))</f>
        <v>3.450128148426379E-3</v>
      </c>
      <c r="Q87" s="8">
        <f>IF(COUNT(Solver!Q158)&lt;1,"",ABS(Solver!Q158-Analytical!Q46))</f>
        <v>5.0786368872588472E-3</v>
      </c>
      <c r="R87" s="8">
        <f>IF(COUNT(Solver!R158)&lt;1,"",ABS(Solver!R158-Analytical!R46))</f>
        <v>6.5936972702274055E-3</v>
      </c>
      <c r="S87" s="8">
        <f>IF(COUNT(Solver!S158)&lt;1,"",ABS(Solver!S158-Analytical!S46))</f>
        <v>7.9614653519337608E-3</v>
      </c>
      <c r="T87" s="8">
        <f>IF(COUNT(Solver!T158)&lt;1,"",ABS(Solver!T158-Analytical!T46))</f>
        <v>9.1513874536053308E-3</v>
      </c>
      <c r="U87" s="8">
        <f>IF(COUNT(Solver!U158)&lt;1,"",ABS(Solver!U158-Analytical!U46))</f>
        <v>1.0136882681773596E-2</v>
      </c>
      <c r="V87" s="8">
        <f>IF(COUNT(Solver!V158)&lt;1,"",ABS(Solver!V158-Analytical!V46))</f>
        <v>1.0895936701526665E-2</v>
      </c>
      <c r="W87" s="8">
        <f>IF(COUNT(Solver!W158)&lt;1,"",ABS(Solver!W158-Analytical!W46))</f>
        <v>1.1411593500360695E-2</v>
      </c>
      <c r="X87" s="8" t="str">
        <f>IF(COUNT(Solver!X158)&lt;1,"",ABS(Solver!X158-Analytical!X46))</f>
        <v/>
      </c>
    </row>
    <row r="88" spans="1:24" x14ac:dyDescent="0.25">
      <c r="A88" s="2">
        <v>12</v>
      </c>
      <c r="B88" s="4">
        <f>IF(12&lt;=N,(12-0.5)*dx,"")</f>
        <v>0.54761904761904756</v>
      </c>
      <c r="D88" s="8" t="str">
        <f>IF(COUNT(Solver!D159)&lt;1,"",ABS(Solver!D159-Analytical!D47))</f>
        <v/>
      </c>
      <c r="E88" s="8">
        <f>IF(COUNT(Solver!E159)&lt;1,"",ABS(Solver!E159-Analytical!E47))</f>
        <v>1.1284135429505238E-2</v>
      </c>
      <c r="F88" s="8">
        <f>IF(COUNT(Solver!F159)&lt;1,"",ABS(Solver!F159-Analytical!F47))</f>
        <v>1.0774238091065591E-2</v>
      </c>
      <c r="G88" s="8">
        <f>IF(COUNT(Solver!G159)&lt;1,"",ABS(Solver!G159-Analytical!G47))</f>
        <v>1.0023662077564222E-2</v>
      </c>
      <c r="H88" s="8">
        <f>IF(COUNT(Solver!H159)&lt;1,"",ABS(Solver!H159-Analytical!H47))</f>
        <v>9.0491740168525681E-3</v>
      </c>
      <c r="I88" s="8">
        <f>IF(COUNT(Solver!I159)&lt;1,"",ABS(Solver!I159-Analytical!I47))</f>
        <v>7.8725423619143697E-3</v>
      </c>
      <c r="J88" s="8">
        <f>IF(COUNT(Solver!J159)&lt;1,"",ABS(Solver!J159-Analytical!J47))</f>
        <v>6.5200511195959709E-3</v>
      </c>
      <c r="K88" s="8">
        <f>IF(COUNT(Solver!K159)&lt;1,"",ABS(Solver!K159-Analytical!K47))</f>
        <v>5.021912709327836E-3</v>
      </c>
      <c r="L88" s="8">
        <f>IF(COUNT(Solver!L159)&lt;1,"",ABS(Solver!L159-Analytical!L47))</f>
        <v>3.4115930675910899E-3</v>
      </c>
      <c r="M88" s="8">
        <f>IF(COUNT(Solver!M159)&lt;1,"",ABS(Solver!M159-Analytical!M47))</f>
        <v>1.7250640742125789E-3</v>
      </c>
      <c r="N88" s="8">
        <f>IF(COUNT(Solver!N159)&lt;1,"",ABS(Solver!N159-Analytical!N47))</f>
        <v>1.9029640791870288E-16</v>
      </c>
      <c r="O88" s="8">
        <f>IF(COUNT(Solver!O159)&lt;1,"",ABS(Solver!O159-Analytical!O47))</f>
        <v>1.7250640742115797E-3</v>
      </c>
      <c r="P88" s="8">
        <f>IF(COUNT(Solver!P159)&lt;1,"",ABS(Solver!P159-Analytical!P47))</f>
        <v>3.4115930675918671E-3</v>
      </c>
      <c r="Q88" s="8">
        <f>IF(COUNT(Solver!Q159)&lt;1,"",ABS(Solver!Q159-Analytical!Q47))</f>
        <v>5.0219127093260596E-3</v>
      </c>
      <c r="R88" s="8">
        <f>IF(COUNT(Solver!R159)&lt;1,"",ABS(Solver!R159-Analytical!R47))</f>
        <v>6.5200511195973032E-3</v>
      </c>
      <c r="S88" s="8">
        <f>IF(COUNT(Solver!S159)&lt;1,"",ABS(Solver!S159-Analytical!S47))</f>
        <v>7.8725423619152579E-3</v>
      </c>
      <c r="T88" s="8">
        <f>IF(COUNT(Solver!T159)&lt;1,"",ABS(Solver!T159-Analytical!T47))</f>
        <v>9.0491740168543444E-3</v>
      </c>
      <c r="U88" s="8">
        <f>IF(COUNT(Solver!U159)&lt;1,"",ABS(Solver!U159-Analytical!U47))</f>
        <v>1.002366207756511E-2</v>
      </c>
      <c r="V88" s="8">
        <f>IF(COUNT(Solver!V159)&lt;1,"",ABS(Solver!V159-Analytical!V47))</f>
        <v>1.0774238091067811E-2</v>
      </c>
      <c r="W88" s="8">
        <f>IF(COUNT(Solver!W159)&lt;1,"",ABS(Solver!W159-Analytical!W47))</f>
        <v>1.128413542950657E-2</v>
      </c>
      <c r="X88" s="8" t="str">
        <f>IF(COUNT(Solver!X159)&lt;1,"",ABS(Solver!X159-Analytical!X47))</f>
        <v/>
      </c>
    </row>
    <row r="89" spans="1:24" x14ac:dyDescent="0.25">
      <c r="A89" s="2">
        <v>13</v>
      </c>
      <c r="B89" s="4">
        <f>IF(13&lt;=N,(13-0.5)*dx,"")</f>
        <v>0.59523809523809523</v>
      </c>
      <c r="D89" s="8" t="str">
        <f>IF(COUNT(Solver!D160)&lt;1,"",ABS(Solver!D160-Analytical!D48))</f>
        <v/>
      </c>
      <c r="E89" s="8">
        <f>IF(COUNT(Solver!E160)&lt;1,"",ABS(Solver!E160-Analytical!E48))</f>
        <v>1.0904608419628481E-2</v>
      </c>
      <c r="F89" s="8">
        <f>IF(COUNT(Solver!F160)&lt;1,"",ABS(Solver!F160-Analytical!F48))</f>
        <v>1.041186080554457E-2</v>
      </c>
      <c r="G89" s="8">
        <f>IF(COUNT(Solver!G160)&lt;1,"",ABS(Solver!G160-Analytical!G48))</f>
        <v>9.6865294261467838E-3</v>
      </c>
      <c r="H89" s="8">
        <f>IF(COUNT(Solver!H160)&lt;1,"",ABS(Solver!H160-Analytical!H48))</f>
        <v>8.7448169858763691E-3</v>
      </c>
      <c r="I89" s="8">
        <f>IF(COUNT(Solver!I160)&lt;1,"",ABS(Solver!I160-Analytical!I48))</f>
        <v>7.6077597845158884E-3</v>
      </c>
      <c r="J89" s="8">
        <f>IF(COUNT(Solver!J160)&lt;1,"",ABS(Solver!J160-Analytical!J48))</f>
        <v>6.300757801013912E-3</v>
      </c>
      <c r="K89" s="8">
        <f>IF(COUNT(Solver!K160)&lt;1,"",ABS(Solver!K160-Analytical!K48))</f>
        <v>4.8530072999284357E-3</v>
      </c>
      <c r="L89" s="8">
        <f>IF(COUNT(Solver!L160)&lt;1,"",ABS(Solver!L160-Analytical!L48))</f>
        <v>3.2968486351133697E-3</v>
      </c>
      <c r="M89" s="8">
        <f>IF(COUNT(Solver!M160)&lt;1,"",ABS(Solver!M160-Analytical!M48))</f>
        <v>1.6670438196688675E-3</v>
      </c>
      <c r="N89" s="8">
        <f>IF(COUNT(Solver!N160)&lt;1,"",ABS(Solver!N160-Analytical!N48))</f>
        <v>1.8389603926495978E-16</v>
      </c>
      <c r="O89" s="8">
        <f>IF(COUNT(Solver!O160)&lt;1,"",ABS(Solver!O160-Analytical!O48))</f>
        <v>1.6670438196679238E-3</v>
      </c>
      <c r="P89" s="8">
        <f>IF(COUNT(Solver!P160)&lt;1,"",ABS(Solver!P160-Analytical!P48))</f>
        <v>3.2968486351141468E-3</v>
      </c>
      <c r="Q89" s="8">
        <f>IF(COUNT(Solver!Q160)&lt;1,"",ABS(Solver!Q160-Analytical!Q48))</f>
        <v>4.8530072999264373E-3</v>
      </c>
      <c r="R89" s="8">
        <f>IF(COUNT(Solver!R160)&lt;1,"",ABS(Solver!R160-Analytical!R48))</f>
        <v>6.3007578010152443E-3</v>
      </c>
      <c r="S89" s="8">
        <f>IF(COUNT(Solver!S160)&lt;1,"",ABS(Solver!S160-Analytical!S48))</f>
        <v>7.6077597845167766E-3</v>
      </c>
      <c r="T89" s="8">
        <f>IF(COUNT(Solver!T160)&lt;1,"",ABS(Solver!T160-Analytical!T48))</f>
        <v>8.7448169858781455E-3</v>
      </c>
      <c r="U89" s="8">
        <f>IF(COUNT(Solver!U160)&lt;1,"",ABS(Solver!U160-Analytical!U48))</f>
        <v>9.6865294261472279E-3</v>
      </c>
      <c r="V89" s="8">
        <f>IF(COUNT(Solver!V160)&lt;1,"",ABS(Solver!V160-Analytical!V48))</f>
        <v>1.0411860805545903E-2</v>
      </c>
      <c r="W89" s="8">
        <f>IF(COUNT(Solver!W160)&lt;1,"",ABS(Solver!W160-Analytical!W48))</f>
        <v>1.0904608419630257E-2</v>
      </c>
      <c r="X89" s="8" t="str">
        <f>IF(COUNT(Solver!X160)&lt;1,"",ABS(Solver!X160-Analytical!X48))</f>
        <v/>
      </c>
    </row>
    <row r="90" spans="1:24" x14ac:dyDescent="0.25">
      <c r="A90" s="2">
        <v>14</v>
      </c>
      <c r="B90" s="4">
        <f>IF(14&lt;=N,(14-0.5)*dx,"")</f>
        <v>0.64285714285714279</v>
      </c>
      <c r="D90" s="8" t="str">
        <f>IF(COUNT(Solver!D161)&lt;1,"",ABS(Solver!D161-Analytical!D49))</f>
        <v/>
      </c>
      <c r="E90" s="8">
        <f>IF(COUNT(Solver!E161)&lt;1,"",ABS(Solver!E161-Analytical!E49))</f>
        <v>1.0281490476981237E-2</v>
      </c>
      <c r="F90" s="8">
        <f>IF(COUNT(Solver!F161)&lt;1,"",ABS(Solver!F161-Analytical!F49))</f>
        <v>9.8168997547096737E-3</v>
      </c>
      <c r="G90" s="8">
        <f>IF(COUNT(Solver!G161)&lt;1,"",ABS(Solver!G161-Analytical!G49))</f>
        <v>9.1330157138567181E-3</v>
      </c>
      <c r="H90" s="8">
        <f>IF(COUNT(Solver!H161)&lt;1,"",ABS(Solver!H161-Analytical!H49))</f>
        <v>8.2451151938096601E-3</v>
      </c>
      <c r="I90" s="8">
        <f>IF(COUNT(Solver!I161)&lt;1,"",ABS(Solver!I161-Analytical!I49))</f>
        <v>7.1730324249748012E-3</v>
      </c>
      <c r="J90" s="8">
        <f>IF(COUNT(Solver!J161)&lt;1,"",ABS(Solver!J161-Analytical!J49))</f>
        <v>5.9407159648470209E-3</v>
      </c>
      <c r="K90" s="8">
        <f>IF(COUNT(Solver!K161)&lt;1,"",ABS(Solver!K161-Analytical!K49))</f>
        <v>4.5756937268026654E-3</v>
      </c>
      <c r="L90" s="8">
        <f>IF(COUNT(Solver!L161)&lt;1,"",ABS(Solver!L161-Analytical!L49))</f>
        <v>3.1084580520045479E-3</v>
      </c>
      <c r="M90" s="8">
        <f>IF(COUNT(Solver!M161)&lt;1,"",ABS(Solver!M161-Analytical!M49))</f>
        <v>1.5717845609004022E-3</v>
      </c>
      <c r="N90" s="8">
        <f>IF(COUNT(Solver!N161)&lt;1,"",ABS(Solver!N161-Analytical!N49))</f>
        <v>1.7338773697309488E-16</v>
      </c>
      <c r="O90" s="8">
        <f>IF(COUNT(Solver!O161)&lt;1,"",ABS(Solver!O161-Analytical!O49))</f>
        <v>1.571784560899514E-3</v>
      </c>
      <c r="P90" s="8">
        <f>IF(COUNT(Solver!P161)&lt;1,"",ABS(Solver!P161-Analytical!P49))</f>
        <v>3.1084580520054361E-3</v>
      </c>
      <c r="Q90" s="8">
        <f>IF(COUNT(Solver!Q161)&lt;1,"",ABS(Solver!Q161-Analytical!Q49))</f>
        <v>4.575693726800667E-3</v>
      </c>
      <c r="R90" s="8">
        <f>IF(COUNT(Solver!R161)&lt;1,"",ABS(Solver!R161-Analytical!R49))</f>
        <v>5.9407159648483532E-3</v>
      </c>
      <c r="S90" s="8">
        <f>IF(COUNT(Solver!S161)&lt;1,"",ABS(Solver!S161-Analytical!S49))</f>
        <v>7.1730324249759114E-3</v>
      </c>
      <c r="T90" s="8">
        <f>IF(COUNT(Solver!T161)&lt;1,"",ABS(Solver!T161-Analytical!T49))</f>
        <v>8.2451151938109923E-3</v>
      </c>
      <c r="U90" s="8">
        <f>IF(COUNT(Solver!U161)&lt;1,"",ABS(Solver!U161-Analytical!U49))</f>
        <v>9.1330157138576062E-3</v>
      </c>
      <c r="V90" s="8">
        <f>IF(COUNT(Solver!V161)&lt;1,"",ABS(Solver!V161-Analytical!V49))</f>
        <v>9.816899754711006E-3</v>
      </c>
      <c r="W90" s="8">
        <f>IF(COUNT(Solver!W161)&lt;1,"",ABS(Solver!W161-Analytical!W49))</f>
        <v>1.0281490476982569E-2</v>
      </c>
      <c r="X90" s="8" t="str">
        <f>IF(COUNT(Solver!X161)&lt;1,"",ABS(Solver!X161-Analytical!X49))</f>
        <v/>
      </c>
    </row>
    <row r="91" spans="1:24" x14ac:dyDescent="0.25">
      <c r="A91" s="2">
        <v>15</v>
      </c>
      <c r="B91" s="4">
        <f>IF(15&lt;=N,(15-0.5)*dx,"")</f>
        <v>0.69047619047619047</v>
      </c>
      <c r="D91" s="8" t="str">
        <f>IF(COUNT(Solver!D162)&lt;1,"",ABS(Solver!D162-Analytical!D50))</f>
        <v/>
      </c>
      <c r="E91" s="8">
        <f>IF(COUNT(Solver!E162)&lt;1,"",ABS(Solver!E162-Analytical!E50))</f>
        <v>9.4287010267288807E-3</v>
      </c>
      <c r="F91" s="8">
        <f>IF(COUNT(Solver!F162)&lt;1,"",ABS(Solver!F162-Analytical!F50))</f>
        <v>9.00264538529294E-3</v>
      </c>
      <c r="G91" s="8">
        <f>IF(COUNT(Solver!G162)&lt;1,"",ABS(Solver!G162-Analytical!G50))</f>
        <v>8.3754855223721059E-3</v>
      </c>
      <c r="H91" s="8">
        <f>IF(COUNT(Solver!H162)&lt;1,"",ABS(Solver!H162-Analytical!H50))</f>
        <v>7.5612311529558163E-3</v>
      </c>
      <c r="I91" s="8">
        <f>IF(COUNT(Solver!I162)&lt;1,"",ABS(Solver!I162-Analytical!I50))</f>
        <v>6.5780713741403485E-3</v>
      </c>
      <c r="J91" s="8">
        <f>IF(COUNT(Solver!J162)&lt;1,"",ABS(Solver!J162-Analytical!J50))</f>
        <v>5.4479683507631105E-3</v>
      </c>
      <c r="K91" s="8">
        <f>IF(COUNT(Solver!K162)&lt;1,"",ABS(Solver!K162-Analytical!K50))</f>
        <v>4.196166716927463E-3</v>
      </c>
      <c r="L91" s="8">
        <f>IF(COUNT(Solver!L162)&lt;1,"",ABS(Solver!L162-Analytical!L50))</f>
        <v>2.850629652587866E-3</v>
      </c>
      <c r="M91" s="8">
        <f>IF(COUNT(Solver!M162)&lt;1,"",ABS(Solver!M162-Analytical!M50))</f>
        <v>1.4414142323363466E-3</v>
      </c>
      <c r="N91" s="8">
        <f>IF(COUNT(Solver!N162)&lt;1,"",ABS(Solver!N162-Analytical!N50))</f>
        <v>1.5900623915186155E-16</v>
      </c>
      <c r="O91" s="8">
        <f>IF(COUNT(Solver!O162)&lt;1,"",ABS(Solver!O162-Analytical!O50))</f>
        <v>1.4414142323355694E-3</v>
      </c>
      <c r="P91" s="8">
        <f>IF(COUNT(Solver!P162)&lt;1,"",ABS(Solver!P162-Analytical!P50))</f>
        <v>2.8506296525887542E-3</v>
      </c>
      <c r="Q91" s="8">
        <f>IF(COUNT(Solver!Q162)&lt;1,"",ABS(Solver!Q162-Analytical!Q50))</f>
        <v>4.1961667169254646E-3</v>
      </c>
      <c r="R91" s="8">
        <f>IF(COUNT(Solver!R162)&lt;1,"",ABS(Solver!R162-Analytical!R50))</f>
        <v>5.4479683507631105E-3</v>
      </c>
      <c r="S91" s="8">
        <f>IF(COUNT(Solver!S162)&lt;1,"",ABS(Solver!S162-Analytical!S50))</f>
        <v>6.5780713741403485E-3</v>
      </c>
      <c r="T91" s="8">
        <f>IF(COUNT(Solver!T162)&lt;1,"",ABS(Solver!T162-Analytical!T50))</f>
        <v>7.5612311529580367E-3</v>
      </c>
      <c r="U91" s="8">
        <f>IF(COUNT(Solver!U162)&lt;1,"",ABS(Solver!U162-Analytical!U50))</f>
        <v>8.3754855223738822E-3</v>
      </c>
      <c r="V91" s="8">
        <f>IF(COUNT(Solver!V162)&lt;1,"",ABS(Solver!V162-Analytical!V50))</f>
        <v>9.0026453852942723E-3</v>
      </c>
      <c r="W91" s="8">
        <f>IF(COUNT(Solver!W162)&lt;1,"",ABS(Solver!W162-Analytical!W50))</f>
        <v>9.428701026730657E-3</v>
      </c>
      <c r="X91" s="8" t="str">
        <f>IF(COUNT(Solver!X162)&lt;1,"",ABS(Solver!X162-Analytical!X50))</f>
        <v/>
      </c>
    </row>
    <row r="92" spans="1:24" x14ac:dyDescent="0.25">
      <c r="A92" s="2">
        <v>16</v>
      </c>
      <c r="B92" s="4">
        <f>IF(16&lt;=N,(16-0.5)*dx,"")</f>
        <v>0.73809523809523803</v>
      </c>
      <c r="D92" s="8" t="str">
        <f>IF(COUNT(Solver!D163)&lt;1,"",ABS(Solver!D163-Analytical!D51))</f>
        <v/>
      </c>
      <c r="E92" s="8">
        <f>IF(COUNT(Solver!E163)&lt;1,"",ABS(Solver!E163-Analytical!E51))</f>
        <v>8.3652899759996124E-3</v>
      </c>
      <c r="F92" s="8">
        <f>IF(COUNT(Solver!F163)&lt;1,"",ABS(Solver!F163-Analytical!F51))</f>
        <v>7.9872867943926451E-3</v>
      </c>
      <c r="G92" s="8">
        <f>IF(COUNT(Solver!G163)&lt;1,"",ABS(Solver!G163-Analytical!G51))</f>
        <v>7.4308608243924823E-3</v>
      </c>
      <c r="H92" s="8">
        <f>IF(COUNT(Solver!H163)&lt;1,"",ABS(Solver!H163-Analytical!H51))</f>
        <v>6.7084417027034604E-3</v>
      </c>
      <c r="I92" s="8">
        <f>IF(COUNT(Solver!I163)&lt;1,"",ABS(Solver!I163-Analytical!I51))</f>
        <v>5.8361670787427933E-3</v>
      </c>
      <c r="J92" s="8">
        <f>IF(COUNT(Solver!J163)&lt;1,"",ABS(Solver!J163-Analytical!J51))</f>
        <v>4.8335221262187922E-3</v>
      </c>
      <c r="K92" s="8">
        <f>IF(COUNT(Solver!K163)&lt;1,"",ABS(Solver!K163-Analytical!K51))</f>
        <v>3.7229042765507536E-3</v>
      </c>
      <c r="L92" s="8">
        <f>IF(COUNT(Solver!L163)&lt;1,"",ABS(Solver!L163-Analytical!L51))</f>
        <v>2.5291228972554869E-3</v>
      </c>
      <c r="M92" s="8">
        <f>IF(COUNT(Solver!M163)&lt;1,"",ABS(Solver!M163-Analytical!M51))</f>
        <v>1.2788450916882965E-3</v>
      </c>
      <c r="N92" s="8">
        <f>IF(COUNT(Solver!N163)&lt;1,"",ABS(Solver!N163-Analytical!N51))</f>
        <v>1.4107280469787644E-16</v>
      </c>
      <c r="O92" s="8">
        <f>IF(COUNT(Solver!O163)&lt;1,"",ABS(Solver!O163-Analytical!O51))</f>
        <v>1.2788450916875749E-3</v>
      </c>
      <c r="P92" s="8">
        <f>IF(COUNT(Solver!P163)&lt;1,"",ABS(Solver!P163-Analytical!P51))</f>
        <v>2.5291228972564861E-3</v>
      </c>
      <c r="Q92" s="8">
        <f>IF(COUNT(Solver!Q163)&lt;1,"",ABS(Solver!Q163-Analytical!Q51))</f>
        <v>3.7229042765489773E-3</v>
      </c>
      <c r="R92" s="8">
        <f>IF(COUNT(Solver!R163)&lt;1,"",ABS(Solver!R163-Analytical!R51))</f>
        <v>4.8335221262190142E-3</v>
      </c>
      <c r="S92" s="8">
        <f>IF(COUNT(Solver!S163)&lt;1,"",ABS(Solver!S163-Analytical!S51))</f>
        <v>5.8361670787434594E-3</v>
      </c>
      <c r="T92" s="8">
        <f>IF(COUNT(Solver!T163)&lt;1,"",ABS(Solver!T163-Analytical!T51))</f>
        <v>6.7084417027052368E-3</v>
      </c>
      <c r="U92" s="8">
        <f>IF(COUNT(Solver!U163)&lt;1,"",ABS(Solver!U163-Analytical!U51))</f>
        <v>7.4308608243935925E-3</v>
      </c>
      <c r="V92" s="8">
        <f>IF(COUNT(Solver!V163)&lt;1,"",ABS(Solver!V163-Analytical!V51))</f>
        <v>7.9872867943939774E-3</v>
      </c>
      <c r="W92" s="8">
        <f>IF(COUNT(Solver!W163)&lt;1,"",ABS(Solver!W163-Analytical!W51))</f>
        <v>8.3652899760000565E-3</v>
      </c>
      <c r="X92" s="8" t="str">
        <f>IF(COUNT(Solver!X163)&lt;1,"",ABS(Solver!X163-Analytical!X51))</f>
        <v/>
      </c>
    </row>
    <row r="93" spans="1:24" x14ac:dyDescent="0.25">
      <c r="A93" s="2">
        <v>17</v>
      </c>
      <c r="B93" s="4">
        <f>IF(17&lt;=N,(17-0.5)*dx,"")</f>
        <v>0.7857142857142857</v>
      </c>
      <c r="D93" s="8" t="str">
        <f>IF(COUNT(Solver!D164)&lt;1,"",ABS(Solver!D164-Analytical!D52))</f>
        <v/>
      </c>
      <c r="E93" s="8">
        <f>IF(COUNT(Solver!E164)&lt;1,"",ABS(Solver!E164-Analytical!E52))</f>
        <v>7.1150121704310898E-3</v>
      </c>
      <c r="F93" s="8">
        <f>IF(COUNT(Solver!F164)&lt;1,"",ABS(Solver!F164-Analytical!F52))</f>
        <v>6.7935054150995988E-3</v>
      </c>
      <c r="G93" s="8">
        <f>IF(COUNT(Solver!G164)&lt;1,"",ABS(Solver!G164-Analytical!G52))</f>
        <v>6.3202429747233335E-3</v>
      </c>
      <c r="H93" s="8">
        <f>IF(COUNT(Solver!H164)&lt;1,"",ABS(Solver!H164-Analytical!H52))</f>
        <v>5.7057967501794593E-3</v>
      </c>
      <c r="I93" s="8">
        <f>IF(COUNT(Solver!I164)&lt;1,"",ABS(Solver!I164-Analytical!I52))</f>
        <v>4.9638924547819041E-3</v>
      </c>
      <c r="J93" s="8">
        <f>IF(COUNT(Solver!J164)&lt;1,"",ABS(Solver!J164-Analytical!J52))</f>
        <v>4.1111030045295482E-3</v>
      </c>
      <c r="K93" s="8">
        <f>IF(COUNT(Solver!K164)&lt;1,"",ABS(Solver!K164-Analytical!K52))</f>
        <v>3.1664783065508129E-3</v>
      </c>
      <c r="L93" s="8">
        <f>IF(COUNT(Solver!L164)&lt;1,"",ABS(Solver!L164-Analytical!L52))</f>
        <v>2.1511197156492967E-3</v>
      </c>
      <c r="M93" s="8">
        <f>IF(COUNT(Solver!M164)&lt;1,"",ABS(Solver!M164-Analytical!M52))</f>
        <v>1.0877086649196399E-3</v>
      </c>
      <c r="N93" s="8">
        <f>IF(COUNT(Solver!N164)&lt;1,"",ABS(Solver!N164-Analytical!N52))</f>
        <v>1.1998803690273311E-16</v>
      </c>
      <c r="O93" s="8">
        <f>IF(COUNT(Solver!O164)&lt;1,"",ABS(Solver!O164-Analytical!O52))</f>
        <v>1.0877086649189738E-3</v>
      </c>
      <c r="P93" s="8">
        <f>IF(COUNT(Solver!P164)&lt;1,"",ABS(Solver!P164-Analytical!P52))</f>
        <v>2.1511197156490747E-3</v>
      </c>
      <c r="Q93" s="8">
        <f>IF(COUNT(Solver!Q164)&lt;1,"",ABS(Solver!Q164-Analytical!Q52))</f>
        <v>3.1664783065490365E-3</v>
      </c>
      <c r="R93" s="8">
        <f>IF(COUNT(Solver!R164)&lt;1,"",ABS(Solver!R164-Analytical!R52))</f>
        <v>4.1111030045306585E-3</v>
      </c>
      <c r="S93" s="8">
        <f>IF(COUNT(Solver!S164)&lt;1,"",ABS(Solver!S164-Analytical!S52))</f>
        <v>4.9638924547827923E-3</v>
      </c>
      <c r="T93" s="8">
        <f>IF(COUNT(Solver!T164)&lt;1,"",ABS(Solver!T164-Analytical!T52))</f>
        <v>5.7057967501812357E-3</v>
      </c>
      <c r="U93" s="8">
        <f>IF(COUNT(Solver!U164)&lt;1,"",ABS(Solver!U164-Analytical!U52))</f>
        <v>6.3202429747237776E-3</v>
      </c>
      <c r="V93" s="8">
        <f>IF(COUNT(Solver!V164)&lt;1,"",ABS(Solver!V164-Analytical!V52))</f>
        <v>6.793505415100265E-3</v>
      </c>
      <c r="W93" s="8">
        <f>IF(COUNT(Solver!W164)&lt;1,"",ABS(Solver!W164-Analytical!W52))</f>
        <v>7.1150121704322E-3</v>
      </c>
      <c r="X93" s="8" t="str">
        <f>IF(COUNT(Solver!X164)&lt;1,"",ABS(Solver!X164-Analytical!X52))</f>
        <v/>
      </c>
    </row>
    <row r="94" spans="1:24" x14ac:dyDescent="0.25">
      <c r="A94" s="2">
        <v>18</v>
      </c>
      <c r="B94" s="4">
        <f>IF(18&lt;=N,(18-0.5)*dx,"")</f>
        <v>0.83333333333333326</v>
      </c>
      <c r="D94" s="8" t="str">
        <f>IF(COUNT(Solver!D165)&lt;1,"",ABS(Solver!D165-Analytical!D53))</f>
        <v/>
      </c>
      <c r="E94" s="8">
        <f>IF(COUNT(Solver!E165)&lt;1,"",ABS(Solver!E165-Analytical!E53))</f>
        <v>5.7057967501796814E-3</v>
      </c>
      <c r="F94" s="8">
        <f>IF(COUNT(Solver!F165)&lt;1,"",ABS(Solver!F165-Analytical!F53))</f>
        <v>5.4479683507631105E-3</v>
      </c>
      <c r="G94" s="8">
        <f>IF(COUNT(Solver!G165)&lt;1,"",ABS(Solver!G165-Analytical!G53))</f>
        <v>5.0684413408859097E-3</v>
      </c>
      <c r="H94" s="8">
        <f>IF(COUNT(Solver!H165)&lt;1,"",ABS(Solver!H165-Analytical!H53))</f>
        <v>4.5756937268017772E-3</v>
      </c>
      <c r="I94" s="8">
        <f>IF(COUNT(Solver!I165)&lt;1,"",ABS(Solver!I165-Analytical!I53))</f>
        <v>3.9807326759664363E-3</v>
      </c>
      <c r="J94" s="8">
        <f>IF(COUNT(Solver!J165)&lt;1,"",ABS(Solver!J165-Analytical!J53))</f>
        <v>3.2968486351129256E-3</v>
      </c>
      <c r="K94" s="8">
        <f>IF(COUNT(Solver!K165)&lt;1,"",ABS(Solver!K165-Analytical!K53))</f>
        <v>2.5393184436303118E-3</v>
      </c>
      <c r="L94" s="8">
        <f>IF(COUNT(Solver!L165)&lt;1,"",ABS(Solver!L165-Analytical!L53))</f>
        <v>1.7250640742125234E-3</v>
      </c>
      <c r="M94" s="8">
        <f>IF(COUNT(Solver!M165)&lt;1,"",ABS(Solver!M165-Analytical!M53))</f>
        <v>8.7227462396108346E-4</v>
      </c>
      <c r="N94" s="8">
        <f>IF(COUNT(Solver!N165)&lt;1,"",ABS(Solver!N165-Analytical!N53))</f>
        <v>9.6222934637445225E-17</v>
      </c>
      <c r="O94" s="8">
        <f>IF(COUNT(Solver!O165)&lt;1,"",ABS(Solver!O165-Analytical!O53))</f>
        <v>8.7227462396058386E-4</v>
      </c>
      <c r="P94" s="8">
        <f>IF(COUNT(Solver!P165)&lt;1,"",ABS(Solver!P165-Analytical!P53))</f>
        <v>1.725064074212912E-3</v>
      </c>
      <c r="Q94" s="8">
        <f>IF(COUNT(Solver!Q165)&lt;1,"",ABS(Solver!Q165-Analytical!Q53))</f>
        <v>2.5393184436293126E-3</v>
      </c>
      <c r="R94" s="8">
        <f>IF(COUNT(Solver!R165)&lt;1,"",ABS(Solver!R165-Analytical!R53))</f>
        <v>3.2968486351137027E-3</v>
      </c>
      <c r="S94" s="8">
        <f>IF(COUNT(Solver!S165)&lt;1,"",ABS(Solver!S165-Analytical!S53))</f>
        <v>3.9807326759668804E-3</v>
      </c>
      <c r="T94" s="8">
        <f>IF(COUNT(Solver!T165)&lt;1,"",ABS(Solver!T165-Analytical!T53))</f>
        <v>4.5756937268028874E-3</v>
      </c>
      <c r="U94" s="8">
        <f>IF(COUNT(Solver!U165)&lt;1,"",ABS(Solver!U165-Analytical!U53))</f>
        <v>5.0684413408863538E-3</v>
      </c>
      <c r="V94" s="8">
        <f>IF(COUNT(Solver!V165)&lt;1,"",ABS(Solver!V165-Analytical!V53))</f>
        <v>5.4479683507633325E-3</v>
      </c>
      <c r="W94" s="8">
        <f>IF(COUNT(Solver!W165)&lt;1,"",ABS(Solver!W165-Analytical!W53))</f>
        <v>5.7057967501805695E-3</v>
      </c>
      <c r="X94" s="8" t="str">
        <f>IF(COUNT(Solver!X165)&lt;1,"",ABS(Solver!X165-Analytical!X53))</f>
        <v/>
      </c>
    </row>
    <row r="95" spans="1:24" x14ac:dyDescent="0.25">
      <c r="A95" s="2">
        <v>19</v>
      </c>
      <c r="B95" s="4">
        <f>IF(19&lt;=N,(19-0.5)*dx,"")</f>
        <v>0.88095238095238093</v>
      </c>
      <c r="D95" s="8" t="str">
        <f>IF(COUNT(Solver!D166)&lt;1,"",ABS(Solver!D166-Analytical!D54))</f>
        <v/>
      </c>
      <c r="E95" s="8">
        <f>IF(COUNT(Solver!E166)&lt;1,"",ABS(Solver!E166-Analytical!E54))</f>
        <v>4.1691232590741478E-3</v>
      </c>
      <c r="F95" s="8">
        <f>IF(COUNT(Solver!F166)&lt;1,"",ABS(Solver!F166-Analytical!F54))</f>
        <v>3.9807326759668804E-3</v>
      </c>
      <c r="G95" s="8">
        <f>IF(COUNT(Solver!G166)&lt;1,"",ABS(Solver!G166-Analytical!G54))</f>
        <v>3.703419102840666E-3</v>
      </c>
      <c r="H95" s="8">
        <f>IF(COUNT(Solver!H166)&lt;1,"",ABS(Solver!H166-Analytical!H54))</f>
        <v>3.3433772666729977E-3</v>
      </c>
      <c r="I95" s="8">
        <f>IF(COUNT(Solver!I166)&lt;1,"",ABS(Solver!I166-Analytical!I54))</f>
        <v>2.9086499071326877E-3</v>
      </c>
      <c r="J95" s="8">
        <f>IF(COUNT(Solver!J166)&lt;1,"",ABS(Solver!J166-Analytical!J54))</f>
        <v>2.4089481150665337E-3</v>
      </c>
      <c r="K95" s="8">
        <f>IF(COUNT(Solver!K166)&lt;1,"",ABS(Solver!K166-Analytical!K54))</f>
        <v>1.8554344027771341E-3</v>
      </c>
      <c r="L95" s="8">
        <f>IF(COUNT(Solver!L166)&lt;1,"",ABS(Solver!L166-Analytical!L54))</f>
        <v>1.2604733519409606E-3</v>
      </c>
      <c r="M95" s="8">
        <f>IF(COUNT(Solver!M166)&lt;1,"",ABS(Solver!M166-Analytical!M54))</f>
        <v>6.3735540929313328E-4</v>
      </c>
      <c r="N95" s="8">
        <f>IF(COUNT(Solver!N166)&lt;1,"",ABS(Solver!N166-Analytical!N54))</f>
        <v>7.0308371015969819E-17</v>
      </c>
      <c r="O95" s="8">
        <f>IF(COUNT(Solver!O166)&lt;1,"",ABS(Solver!O166-Analytical!O54))</f>
        <v>6.3735540929277246E-4</v>
      </c>
      <c r="P95" s="8">
        <f>IF(COUNT(Solver!P166)&lt;1,"",ABS(Solver!P166-Analytical!P54))</f>
        <v>1.2604733519413491E-3</v>
      </c>
      <c r="Q95" s="8">
        <f>IF(COUNT(Solver!Q166)&lt;1,"",ABS(Solver!Q166-Analytical!Q54))</f>
        <v>1.8554344027762459E-3</v>
      </c>
      <c r="R95" s="8">
        <f>IF(COUNT(Solver!R166)&lt;1,"",ABS(Solver!R166-Analytical!R54))</f>
        <v>2.4089481150666447E-3</v>
      </c>
      <c r="S95" s="8">
        <f>IF(COUNT(Solver!S166)&lt;1,"",ABS(Solver!S166-Analytical!S54))</f>
        <v>2.9086499071331318E-3</v>
      </c>
      <c r="T95" s="8">
        <f>IF(COUNT(Solver!T166)&lt;1,"",ABS(Solver!T166-Analytical!T54))</f>
        <v>3.3433772666738859E-3</v>
      </c>
      <c r="U95" s="8">
        <f>IF(COUNT(Solver!U166)&lt;1,"",ABS(Solver!U166-Analytical!U54))</f>
        <v>3.7034191028412211E-3</v>
      </c>
      <c r="V95" s="8">
        <f>IF(COUNT(Solver!V166)&lt;1,"",ABS(Solver!V166-Analytical!V54))</f>
        <v>3.9807326759671025E-3</v>
      </c>
      <c r="W95" s="8">
        <f>IF(COUNT(Solver!W166)&lt;1,"",ABS(Solver!W166-Analytical!W54))</f>
        <v>4.1691232590745919E-3</v>
      </c>
      <c r="X95" s="8" t="str">
        <f>IF(COUNT(Solver!X166)&lt;1,"",ABS(Solver!X166-Analytical!X54))</f>
        <v/>
      </c>
    </row>
    <row r="96" spans="1:24" x14ac:dyDescent="0.25">
      <c r="A96" s="2">
        <v>20</v>
      </c>
      <c r="B96" s="4">
        <f>IF(20&lt;=N,(20-0.5)*dx,"")</f>
        <v>0.92857142857142849</v>
      </c>
      <c r="D96" s="8" t="str">
        <f>IF(COUNT(Solver!D167)&lt;1,"",ABS(Solver!D167-Analytical!D55))</f>
        <v/>
      </c>
      <c r="E96" s="8">
        <f>IF(COUNT(Solver!E167)&lt;1,"",ABS(Solver!E167-Analytical!E55))</f>
        <v>2.5393184436297567E-3</v>
      </c>
      <c r="F96" s="8">
        <f>IF(COUNT(Solver!F167)&lt;1,"",ABS(Solver!F167-Analytical!F55))</f>
        <v>2.4245740111523695E-3</v>
      </c>
      <c r="G96" s="8">
        <f>IF(COUNT(Solver!G167)&lt;1,"",ABS(Solver!G167-Analytical!G55))</f>
        <v>2.2556686017535243E-3</v>
      </c>
      <c r="H96" s="8">
        <f>IF(COUNT(Solver!H167)&lt;1,"",ABS(Solver!H167-Analytical!H55))</f>
        <v>2.0363752831719095E-3</v>
      </c>
      <c r="I96" s="8">
        <f>IF(COUNT(Solver!I167)&lt;1,"",ABS(Solver!I167-Analytical!I55))</f>
        <v>1.7715927057729841E-3</v>
      </c>
      <c r="J96" s="8">
        <f>IF(COUNT(Solver!J167)&lt;1,"",ABS(Solver!J167-Analytical!J55))</f>
        <v>1.467235674795786E-3</v>
      </c>
      <c r="K96" s="8">
        <f>IF(COUNT(Solver!K167)&lt;1,"",ABS(Solver!K167-Analytical!K55))</f>
        <v>1.1301030233783482E-3</v>
      </c>
      <c r="L96" s="8">
        <f>IF(COUNT(Solver!L167)&lt;1,"",ABS(Solver!L167-Analytical!L55))</f>
        <v>7.6772573785674481E-4</v>
      </c>
      <c r="M96" s="8">
        <f>IF(COUNT(Solver!M167)&lt;1,"",ABS(Solver!M167-Analytical!M55))</f>
        <v>3.8819872798034893E-4</v>
      </c>
      <c r="N96" s="8">
        <f>IF(COUNT(Solver!N167)&lt;1,"",ABS(Solver!N167-Analytical!N55))</f>
        <v>4.2823234567083491E-17</v>
      </c>
      <c r="O96" s="8">
        <f>IF(COUNT(Solver!O167)&lt;1,"",ABS(Solver!O167-Analytical!O55))</f>
        <v>3.8819872798012689E-4</v>
      </c>
      <c r="P96" s="8">
        <f>IF(COUNT(Solver!P167)&lt;1,"",ABS(Solver!P167-Analytical!P55))</f>
        <v>7.6772573785668929E-4</v>
      </c>
      <c r="Q96" s="8">
        <f>IF(COUNT(Solver!Q167)&lt;1,"",ABS(Solver!Q167-Analytical!Q55))</f>
        <v>1.1301030233779041E-3</v>
      </c>
      <c r="R96" s="8">
        <f>IF(COUNT(Solver!R167)&lt;1,"",ABS(Solver!R167-Analytical!R55))</f>
        <v>1.4672356747964521E-3</v>
      </c>
      <c r="S96" s="8">
        <f>IF(COUNT(Solver!S167)&lt;1,"",ABS(Solver!S167-Analytical!S55))</f>
        <v>1.7715927057732617E-3</v>
      </c>
      <c r="T96" s="8">
        <f>IF(COUNT(Solver!T167)&lt;1,"",ABS(Solver!T167-Analytical!T55))</f>
        <v>2.0363752831722426E-3</v>
      </c>
      <c r="U96" s="8">
        <f>IF(COUNT(Solver!U167)&lt;1,"",ABS(Solver!U167-Analytical!U55))</f>
        <v>2.2556686017536354E-3</v>
      </c>
      <c r="V96" s="8">
        <f>IF(COUNT(Solver!V167)&lt;1,"",ABS(Solver!V167-Analytical!V55))</f>
        <v>2.4245740111527025E-3</v>
      </c>
      <c r="W96" s="8">
        <f>IF(COUNT(Solver!W167)&lt;1,"",ABS(Solver!W167-Analytical!W55))</f>
        <v>2.5393184436300897E-3</v>
      </c>
      <c r="X96" s="8" t="str">
        <f>IF(COUNT(Solver!X167)&lt;1,"",ABS(Solver!X167-Analytical!X55))</f>
        <v/>
      </c>
    </row>
    <row r="97" spans="1:24" x14ac:dyDescent="0.25">
      <c r="A97" s="2">
        <v>21</v>
      </c>
      <c r="B97" s="4">
        <f>IF(21&lt;=N,(21-0.5)*dx,"")</f>
        <v>0.97619047619047616</v>
      </c>
      <c r="D97" s="8" t="str">
        <f>IF(COUNT(Solver!D168)&lt;1,"",ABS(Solver!D168-Analytical!D56))</f>
        <v/>
      </c>
      <c r="E97" s="8" t="str">
        <f>IF(COUNT(Solver!E168)&lt;1,"",ABS(Solver!E168-Analytical!E56))</f>
        <v/>
      </c>
      <c r="F97" s="8" t="str">
        <f>IF(COUNT(Solver!F168)&lt;1,"",ABS(Solver!F168-Analytical!F56))</f>
        <v/>
      </c>
      <c r="G97" s="8" t="str">
        <f>IF(COUNT(Solver!G168)&lt;1,"",ABS(Solver!G168-Analytical!G56))</f>
        <v/>
      </c>
      <c r="H97" s="8" t="str">
        <f>IF(COUNT(Solver!H168)&lt;1,"",ABS(Solver!H168-Analytical!H56))</f>
        <v/>
      </c>
      <c r="I97" s="8" t="str">
        <f>IF(COUNT(Solver!I168)&lt;1,"",ABS(Solver!I168-Analytical!I56))</f>
        <v/>
      </c>
      <c r="J97" s="8" t="str">
        <f>IF(COUNT(Solver!J168)&lt;1,"",ABS(Solver!J168-Analytical!J56))</f>
        <v/>
      </c>
      <c r="K97" s="8" t="str">
        <f>IF(COUNT(Solver!K168)&lt;1,"",ABS(Solver!K168-Analytical!K56))</f>
        <v/>
      </c>
      <c r="L97" s="8" t="str">
        <f>IF(COUNT(Solver!L168)&lt;1,"",ABS(Solver!L168-Analytical!L56))</f>
        <v/>
      </c>
      <c r="M97" s="8" t="str">
        <f>IF(COUNT(Solver!M168)&lt;1,"",ABS(Solver!M168-Analytical!M56))</f>
        <v/>
      </c>
      <c r="N97" s="8" t="str">
        <f>IF(COUNT(Solver!N168)&lt;1,"",ABS(Solver!N168-Analytical!N56))</f>
        <v/>
      </c>
      <c r="O97" s="8" t="str">
        <f>IF(COUNT(Solver!O168)&lt;1,"",ABS(Solver!O168-Analytical!O56))</f>
        <v/>
      </c>
      <c r="P97" s="8" t="str">
        <f>IF(COUNT(Solver!P168)&lt;1,"",ABS(Solver!P168-Analytical!P56))</f>
        <v/>
      </c>
      <c r="Q97" s="8" t="str">
        <f>IF(COUNT(Solver!Q168)&lt;1,"",ABS(Solver!Q168-Analytical!Q56))</f>
        <v/>
      </c>
      <c r="R97" s="8" t="str">
        <f>IF(COUNT(Solver!R168)&lt;1,"",ABS(Solver!R168-Analytical!R56))</f>
        <v/>
      </c>
      <c r="S97" s="8" t="str">
        <f>IF(COUNT(Solver!S168)&lt;1,"",ABS(Solver!S168-Analytical!S56))</f>
        <v/>
      </c>
      <c r="T97" s="8" t="str">
        <f>IF(COUNT(Solver!T168)&lt;1,"",ABS(Solver!T168-Analytical!T56))</f>
        <v/>
      </c>
      <c r="U97" s="8" t="str">
        <f>IF(COUNT(Solver!U168)&lt;1,"",ABS(Solver!U168-Analytical!U56))</f>
        <v/>
      </c>
      <c r="V97" s="8" t="str">
        <f>IF(COUNT(Solver!V168)&lt;1,"",ABS(Solver!V168-Analytical!V56))</f>
        <v/>
      </c>
      <c r="W97" s="8" t="str">
        <f>IF(COUNT(Solver!W168)&lt;1,"",ABS(Solver!W168-Analytical!W56))</f>
        <v/>
      </c>
      <c r="X97" s="8" t="str">
        <f>IF(COUNT(Solver!X168)&lt;1,"",ABS(Solver!X168-Analytical!X56))</f>
        <v/>
      </c>
    </row>
    <row r="101" spans="1:24" ht="15.75" x14ac:dyDescent="0.25">
      <c r="A101" s="5" t="s">
        <v>87</v>
      </c>
    </row>
    <row r="102" spans="1:24" x14ac:dyDescent="0.25">
      <c r="A102" s="2" t="s">
        <v>48</v>
      </c>
      <c r="D102" s="2">
        <v>1</v>
      </c>
      <c r="E102" s="2">
        <v>2</v>
      </c>
      <c r="F102" s="2">
        <v>3</v>
      </c>
      <c r="G102" s="2">
        <v>4</v>
      </c>
      <c r="H102" s="2">
        <v>5</v>
      </c>
      <c r="I102" s="2">
        <v>6</v>
      </c>
      <c r="J102" s="2">
        <v>7</v>
      </c>
      <c r="K102" s="2">
        <v>8</v>
      </c>
      <c r="L102" s="2">
        <v>9</v>
      </c>
      <c r="M102" s="2">
        <v>10</v>
      </c>
      <c r="N102" s="2">
        <v>11</v>
      </c>
      <c r="O102" s="2">
        <v>12</v>
      </c>
      <c r="P102" s="2">
        <v>13</v>
      </c>
      <c r="Q102" s="2">
        <v>14</v>
      </c>
      <c r="R102" s="2">
        <v>15</v>
      </c>
      <c r="S102" s="2">
        <v>16</v>
      </c>
      <c r="T102" s="2">
        <v>17</v>
      </c>
      <c r="U102" s="2">
        <v>18</v>
      </c>
      <c r="V102" s="2">
        <v>19</v>
      </c>
      <c r="W102" s="2">
        <v>20</v>
      </c>
      <c r="X102" s="2">
        <v>21</v>
      </c>
    </row>
    <row r="103" spans="1:24" x14ac:dyDescent="0.25">
      <c r="A103" s="2" t="s">
        <v>49</v>
      </c>
      <c r="D103" s="4">
        <f>IF(1&lt;=N_2,(1-0.5)*dx_2,"")</f>
        <v>4.5454545454545456E-2</v>
      </c>
      <c r="E103" s="4">
        <f>IF(2&lt;=N_2,(2-0.5)*dx_2,"")</f>
        <v>0.13636363636363635</v>
      </c>
      <c r="F103" s="4">
        <f>IF(3&lt;=N_2,(3-0.5)*dx_2,"")</f>
        <v>0.22727272727272729</v>
      </c>
      <c r="G103" s="4">
        <f>IF(4&lt;=N_2,(4-0.5)*dx_2,"")</f>
        <v>0.31818181818181818</v>
      </c>
      <c r="H103" s="4">
        <f>IF(5&lt;=N_2,(5-0.5)*dx_2,"")</f>
        <v>0.40909090909090912</v>
      </c>
      <c r="I103" s="4">
        <f>IF(6&lt;=N_2,(6-0.5)*dx_2,"")</f>
        <v>0.5</v>
      </c>
      <c r="J103" s="4">
        <f>IF(7&lt;=N_2,(7-0.5)*dx_2,"")</f>
        <v>0.59090909090909094</v>
      </c>
      <c r="K103" s="4">
        <f>IF(8&lt;=N_2,(8-0.5)*dx_2,"")</f>
        <v>0.68181818181818188</v>
      </c>
      <c r="L103" s="4">
        <f>IF(9&lt;=N_2,(9-0.5)*dx_2,"")</f>
        <v>0.77272727272727271</v>
      </c>
      <c r="M103" s="4">
        <f>IF(10&lt;=N_2,(10-0.5)*dx_2,"")</f>
        <v>0.86363636363636365</v>
      </c>
      <c r="N103" s="4">
        <f>IF(11&lt;=N_2,(11-0.5)*dx_2,"")</f>
        <v>0.95454545454545459</v>
      </c>
      <c r="O103" s="4" t="str">
        <f>IF(12&lt;=N_2,(12-0.5)*dx_2,"")</f>
        <v/>
      </c>
      <c r="P103" s="4" t="str">
        <f>IF(13&lt;=N_2,(13-0.5)*dx_2,"")</f>
        <v/>
      </c>
      <c r="Q103" s="4" t="str">
        <f>IF(14&lt;=N_2,(14-0.5)*dx_2,"")</f>
        <v/>
      </c>
      <c r="R103" s="4" t="str">
        <f>IF(15&lt;=N_2,(15-0.5)*dx_2,"")</f>
        <v/>
      </c>
      <c r="S103" s="4" t="str">
        <f>IF(16&lt;=N_2,(16-0.5)*dx_2,"")</f>
        <v/>
      </c>
      <c r="T103" s="4" t="str">
        <f>IF(17&lt;=N_2,(17-0.5)*dx_2,"")</f>
        <v/>
      </c>
      <c r="U103" s="4" t="str">
        <f>IF(18&lt;=N_2,(18-0.5)*dx_2,"")</f>
        <v/>
      </c>
      <c r="V103" s="4" t="str">
        <f>IF(19&lt;=N_2,(19-0.5)*dx_2,"")</f>
        <v/>
      </c>
      <c r="W103" s="4" t="str">
        <f>IF(20&lt;=N_2,(20-0.5)*dx_2,"")</f>
        <v/>
      </c>
      <c r="X103" s="4" t="str">
        <f>IF(21&lt;=N_2,(21-0.5)*dx_2,"")</f>
        <v/>
      </c>
    </row>
    <row r="104" spans="1:24" x14ac:dyDescent="0.25">
      <c r="A104" s="2" t="s">
        <v>50</v>
      </c>
      <c r="B104" s="2" t="s">
        <v>51</v>
      </c>
    </row>
    <row r="105" spans="1:24" x14ac:dyDescent="0.25">
      <c r="A105" s="2">
        <v>1</v>
      </c>
      <c r="B105" s="4">
        <f>IF(1&lt;=N_2,(1-0.5)*dx_2,"")</f>
        <v>4.5454545454545456E-2</v>
      </c>
      <c r="D105" s="4" t="str">
        <f t="shared" ref="D105:D125" si="0">IF(COUNT(C$103,E$103,$B104,$B105,$B106)&lt;5,"",(U0*SIN(PI()*E$103/L)*SIN(PI()*$B105/L)-U0*SIN(PI()*C$103/L)*SIN(PI()*$B105/L))/(2*dx_2))</f>
        <v/>
      </c>
      <c r="E105" s="4" t="str">
        <f t="shared" ref="E105:E125" si="1">IF(COUNT(D$103,F$103,$B104,$B105,$B106)&lt;5,"",(U0*SIN(PI()*F$103/L)*SIN(PI()*$B105/L)-U0*SIN(PI()*D$103/L)*SIN(PI()*$B105/L))/(2*dx_2))</f>
        <v/>
      </c>
      <c r="F105" s="4" t="str">
        <f t="shared" ref="F105:F125" si="2">IF(COUNT(E$103,G$103,$B104,$B105,$B106)&lt;5,"",(U0*SIN(PI()*G$103/L)*SIN(PI()*$B105/L)-U0*SIN(PI()*E$103/L)*SIN(PI()*$B105/L))/(2*dx_2))</f>
        <v/>
      </c>
      <c r="G105" s="4" t="str">
        <f t="shared" ref="G105:G125" si="3">IF(COUNT(F$103,H$103,$B104,$B105,$B106)&lt;5,"",(U0*SIN(PI()*H$103/L)*SIN(PI()*$B105/L)-U0*SIN(PI()*F$103/L)*SIN(PI()*$B105/L))/(2*dx_2))</f>
        <v/>
      </c>
      <c r="H105" s="4" t="str">
        <f t="shared" ref="H105:H125" si="4">IF(COUNT(G$103,I$103,$B104,$B105,$B106)&lt;5,"",(U0*SIN(PI()*I$103/L)*SIN(PI()*$B105/L)-U0*SIN(PI()*G$103/L)*SIN(PI()*$B105/L))/(2*dx_2))</f>
        <v/>
      </c>
      <c r="I105" s="4" t="str">
        <f t="shared" ref="I105:I125" si="5">IF(COUNT(H$103,J$103,$B104,$B105,$B106)&lt;5,"",(U0*SIN(PI()*J$103/L)*SIN(PI()*$B105/L)-U0*SIN(PI()*H$103/L)*SIN(PI()*$B105/L))/(2*dx_2))</f>
        <v/>
      </c>
      <c r="J105" s="4" t="str">
        <f t="shared" ref="J105:J125" si="6">IF(COUNT(I$103,K$103,$B104,$B105,$B106)&lt;5,"",(U0*SIN(PI()*K$103/L)*SIN(PI()*$B105/L)-U0*SIN(PI()*I$103/L)*SIN(PI()*$B105/L))/(2*dx_2))</f>
        <v/>
      </c>
      <c r="K105" s="4" t="str">
        <f t="shared" ref="K105:K125" si="7">IF(COUNT(J$103,L$103,$B104,$B105,$B106)&lt;5,"",(U0*SIN(PI()*L$103/L)*SIN(PI()*$B105/L)-U0*SIN(PI()*J$103/L)*SIN(PI()*$B105/L))/(2*dx_2))</f>
        <v/>
      </c>
      <c r="L105" s="4" t="str">
        <f t="shared" ref="L105:L125" si="8">IF(COUNT(K$103,M$103,$B104,$B105,$B106)&lt;5,"",(U0*SIN(PI()*M$103/L)*SIN(PI()*$B105/L)-U0*SIN(PI()*K$103/L)*SIN(PI()*$B105/L))/(2*dx_2))</f>
        <v/>
      </c>
      <c r="M105" s="4" t="str">
        <f t="shared" ref="M105:M125" si="9">IF(COUNT(L$103,N$103,$B104,$B105,$B106)&lt;5,"",(U0*SIN(PI()*N$103/L)*SIN(PI()*$B105/L)-U0*SIN(PI()*L$103/L)*SIN(PI()*$B105/L))/(2*dx_2))</f>
        <v/>
      </c>
      <c r="N105" s="4" t="str">
        <f t="shared" ref="N105:N125" si="10">IF(COUNT(M$103,O$103,$B104,$B105,$B106)&lt;5,"",(U0*SIN(PI()*O$103/L)*SIN(PI()*$B105/L)-U0*SIN(PI()*M$103/L)*SIN(PI()*$B105/L))/(2*dx_2))</f>
        <v/>
      </c>
      <c r="O105" s="4" t="str">
        <f t="shared" ref="O105:O125" si="11">IF(COUNT(N$103,P$103,$B104,$B105,$B106)&lt;5,"",(U0*SIN(PI()*P$103/L)*SIN(PI()*$B105/L)-U0*SIN(PI()*N$103/L)*SIN(PI()*$B105/L))/(2*dx_2))</f>
        <v/>
      </c>
      <c r="P105" s="4" t="str">
        <f t="shared" ref="P105:P125" si="12">IF(COUNT(O$103,Q$103,$B104,$B105,$B106)&lt;5,"",(U0*SIN(PI()*Q$103/L)*SIN(PI()*$B105/L)-U0*SIN(PI()*O$103/L)*SIN(PI()*$B105/L))/(2*dx_2))</f>
        <v/>
      </c>
      <c r="Q105" s="4" t="str">
        <f t="shared" ref="Q105:Q125" si="13">IF(COUNT(P$103,R$103,$B104,$B105,$B106)&lt;5,"",(U0*SIN(PI()*R$103/L)*SIN(PI()*$B105/L)-U0*SIN(PI()*P$103/L)*SIN(PI()*$B105/L))/(2*dx_2))</f>
        <v/>
      </c>
      <c r="R105" s="4" t="str">
        <f t="shared" ref="R105:R125" si="14">IF(COUNT(Q$103,S$103,$B104,$B105,$B106)&lt;5,"",(U0*SIN(PI()*S$103/L)*SIN(PI()*$B105/L)-U0*SIN(PI()*Q$103/L)*SIN(PI()*$B105/L))/(2*dx_2))</f>
        <v/>
      </c>
      <c r="S105" s="4" t="str">
        <f t="shared" ref="S105:S125" si="15">IF(COUNT(R$103,T$103,$B104,$B105,$B106)&lt;5,"",(U0*SIN(PI()*T$103/L)*SIN(PI()*$B105/L)-U0*SIN(PI()*R$103/L)*SIN(PI()*$B105/L))/(2*dx_2))</f>
        <v/>
      </c>
      <c r="T105" s="4" t="str">
        <f t="shared" ref="T105:T125" si="16">IF(COUNT(S$103,U$103,$B104,$B105,$B106)&lt;5,"",(U0*SIN(PI()*U$103/L)*SIN(PI()*$B105/L)-U0*SIN(PI()*S$103/L)*SIN(PI()*$B105/L))/(2*dx_2))</f>
        <v/>
      </c>
      <c r="U105" s="4" t="str">
        <f t="shared" ref="U105:U125" si="17">IF(COUNT(T$103,V$103,$B104,$B105,$B106)&lt;5,"",(U0*SIN(PI()*V$103/L)*SIN(PI()*$B105/L)-U0*SIN(PI()*T$103/L)*SIN(PI()*$B105/L))/(2*dx_2))</f>
        <v/>
      </c>
      <c r="V105" s="4" t="str">
        <f t="shared" ref="V105:V125" si="18">IF(COUNT(U$103,W$103,$B104,$B105,$B106)&lt;5,"",(U0*SIN(PI()*W$103/L)*SIN(PI()*$B105/L)-U0*SIN(PI()*U$103/L)*SIN(PI()*$B105/L))/(2*dx_2))</f>
        <v/>
      </c>
      <c r="W105" s="4" t="str">
        <f t="shared" ref="W105:W125" si="19">IF(COUNT(V$103,X$103,$B104,$B105,$B106)&lt;5,"",(U0*SIN(PI()*X$103/L)*SIN(PI()*$B105/L)-U0*SIN(PI()*V$103/L)*SIN(PI()*$B105/L))/(2*dx_2))</f>
        <v/>
      </c>
      <c r="X105" s="4" t="str">
        <f t="shared" ref="X105:X125" si="20">IF(COUNT(W$103,Y$103,$B104,$B105,$B106)&lt;5,"",(U0*SIN(PI()*Y$103/L)*SIN(PI()*$B105/L)-U0*SIN(PI()*W$103/L)*SIN(PI()*$B105/L))/(2*dx_2))</f>
        <v/>
      </c>
    </row>
    <row r="106" spans="1:24" x14ac:dyDescent="0.25">
      <c r="A106" s="2">
        <v>2</v>
      </c>
      <c r="B106" s="4">
        <f>IF(2&lt;=N_2,(2-0.5)*dx_2,"")</f>
        <v>0.13636363636363635</v>
      </c>
      <c r="D106" s="4" t="str">
        <f t="shared" si="0"/>
        <v/>
      </c>
      <c r="E106" s="4">
        <f t="shared" si="1"/>
        <v>1.1710559295305605</v>
      </c>
      <c r="F106" s="4">
        <f t="shared" si="2"/>
        <v>0.97294842838374795</v>
      </c>
      <c r="G106" s="4">
        <f t="shared" si="3"/>
        <v>0.69601843191638757</v>
      </c>
      <c r="H106" s="4">
        <f t="shared" si="4"/>
        <v>0.36270116147616127</v>
      </c>
      <c r="I106" s="4">
        <f t="shared" si="5"/>
        <v>0</v>
      </c>
      <c r="J106" s="4">
        <f t="shared" si="6"/>
        <v>-0.36270116147616127</v>
      </c>
      <c r="K106" s="4">
        <f t="shared" si="7"/>
        <v>-0.69601843191638724</v>
      </c>
      <c r="L106" s="4">
        <f t="shared" si="8"/>
        <v>-0.97294842838374807</v>
      </c>
      <c r="M106" s="4">
        <f t="shared" si="9"/>
        <v>-1.1710559295305607</v>
      </c>
      <c r="N106" s="4" t="str">
        <f t="shared" si="10"/>
        <v/>
      </c>
      <c r="O106" s="4" t="str">
        <f t="shared" si="11"/>
        <v/>
      </c>
      <c r="P106" s="4" t="str">
        <f t="shared" si="12"/>
        <v/>
      </c>
      <c r="Q106" s="4" t="str">
        <f t="shared" si="13"/>
        <v/>
      </c>
      <c r="R106" s="4" t="str">
        <f t="shared" si="14"/>
        <v/>
      </c>
      <c r="S106" s="4" t="str">
        <f t="shared" si="15"/>
        <v/>
      </c>
      <c r="T106" s="4" t="str">
        <f t="shared" si="16"/>
        <v/>
      </c>
      <c r="U106" s="4" t="str">
        <f t="shared" si="17"/>
        <v/>
      </c>
      <c r="V106" s="4" t="str">
        <f t="shared" si="18"/>
        <v/>
      </c>
      <c r="W106" s="4" t="str">
        <f t="shared" si="19"/>
        <v/>
      </c>
      <c r="X106" s="4" t="str">
        <f t="shared" si="20"/>
        <v/>
      </c>
    </row>
    <row r="107" spans="1:24" x14ac:dyDescent="0.25">
      <c r="A107" s="2">
        <v>3</v>
      </c>
      <c r="B107" s="4">
        <f>IF(3&lt;=N_2,(3-0.5)*dx_2,"")</f>
        <v>0.22727272727272729</v>
      </c>
      <c r="D107" s="4" t="str">
        <f t="shared" si="0"/>
        <v/>
      </c>
      <c r="E107" s="4">
        <f t="shared" si="1"/>
        <v>1.8460539978122517</v>
      </c>
      <c r="F107" s="4">
        <f t="shared" si="2"/>
        <v>1.533757091006722</v>
      </c>
      <c r="G107" s="4">
        <f t="shared" si="3"/>
        <v>1.0972043062924697</v>
      </c>
      <c r="H107" s="4">
        <f t="shared" si="4"/>
        <v>0.57176255400766607</v>
      </c>
      <c r="I107" s="4">
        <f t="shared" si="5"/>
        <v>0</v>
      </c>
      <c r="J107" s="4">
        <f t="shared" si="6"/>
        <v>-0.57176255400766607</v>
      </c>
      <c r="K107" s="4">
        <f t="shared" si="7"/>
        <v>-1.0972043062924692</v>
      </c>
      <c r="L107" s="4">
        <f t="shared" si="8"/>
        <v>-1.5337570910067222</v>
      </c>
      <c r="M107" s="4">
        <f t="shared" si="9"/>
        <v>-1.8460539978122521</v>
      </c>
      <c r="N107" s="4" t="str">
        <f t="shared" si="10"/>
        <v/>
      </c>
      <c r="O107" s="4" t="str">
        <f t="shared" si="11"/>
        <v/>
      </c>
      <c r="P107" s="4" t="str">
        <f t="shared" si="12"/>
        <v/>
      </c>
      <c r="Q107" s="4" t="str">
        <f t="shared" si="13"/>
        <v/>
      </c>
      <c r="R107" s="4" t="str">
        <f t="shared" si="14"/>
        <v/>
      </c>
      <c r="S107" s="4" t="str">
        <f t="shared" si="15"/>
        <v/>
      </c>
      <c r="T107" s="4" t="str">
        <f t="shared" si="16"/>
        <v/>
      </c>
      <c r="U107" s="4" t="str">
        <f t="shared" si="17"/>
        <v/>
      </c>
      <c r="V107" s="4" t="str">
        <f t="shared" si="18"/>
        <v/>
      </c>
      <c r="W107" s="4" t="str">
        <f t="shared" si="19"/>
        <v/>
      </c>
      <c r="X107" s="4" t="str">
        <f t="shared" si="20"/>
        <v/>
      </c>
    </row>
    <row r="108" spans="1:24" x14ac:dyDescent="0.25">
      <c r="A108" s="2">
        <v>4</v>
      </c>
      <c r="B108" s="4">
        <f>IF(4&lt;=N_2,(4-0.5)*dx_2,"")</f>
        <v>0.31818181818181818</v>
      </c>
      <c r="D108" s="4" t="str">
        <f t="shared" si="0"/>
        <v/>
      </c>
      <c r="E108" s="4">
        <f t="shared" si="1"/>
        <v>2.3714957500970555</v>
      </c>
      <c r="F108" s="4">
        <f t="shared" si="2"/>
        <v>1.9703098757209729</v>
      </c>
      <c r="G108" s="4">
        <f t="shared" si="3"/>
        <v>1.4095012130979991</v>
      </c>
      <c r="H108" s="4">
        <f t="shared" si="4"/>
        <v>0.73450314481630918</v>
      </c>
      <c r="I108" s="4">
        <f t="shared" si="5"/>
        <v>0</v>
      </c>
      <c r="J108" s="4">
        <f t="shared" si="6"/>
        <v>-0.73450314481630918</v>
      </c>
      <c r="K108" s="4">
        <f t="shared" si="7"/>
        <v>-1.4095012130979985</v>
      </c>
      <c r="L108" s="4">
        <f t="shared" si="8"/>
        <v>-1.9703098757209732</v>
      </c>
      <c r="M108" s="4">
        <f t="shared" si="9"/>
        <v>-2.3714957500970564</v>
      </c>
      <c r="N108" s="4" t="str">
        <f t="shared" si="10"/>
        <v/>
      </c>
      <c r="O108" s="4" t="str">
        <f t="shared" si="11"/>
        <v/>
      </c>
      <c r="P108" s="4" t="str">
        <f t="shared" si="12"/>
        <v/>
      </c>
      <c r="Q108" s="4" t="str">
        <f t="shared" si="13"/>
        <v/>
      </c>
      <c r="R108" s="4" t="str">
        <f t="shared" si="14"/>
        <v/>
      </c>
      <c r="S108" s="4" t="str">
        <f t="shared" si="15"/>
        <v/>
      </c>
      <c r="T108" s="4" t="str">
        <f t="shared" si="16"/>
        <v/>
      </c>
      <c r="U108" s="4" t="str">
        <f t="shared" si="17"/>
        <v/>
      </c>
      <c r="V108" s="4" t="str">
        <f t="shared" si="18"/>
        <v/>
      </c>
      <c r="W108" s="4" t="str">
        <f t="shared" si="19"/>
        <v/>
      </c>
      <c r="X108" s="4" t="str">
        <f t="shared" si="20"/>
        <v/>
      </c>
    </row>
    <row r="109" spans="1:24" x14ac:dyDescent="0.25">
      <c r="A109" s="2">
        <v>5</v>
      </c>
      <c r="B109" s="4">
        <f>IF(5&lt;=N_2,(5-0.5)*dx_2,"")</f>
        <v>0.40909090909090912</v>
      </c>
      <c r="D109" s="4" t="str">
        <f t="shared" si="0"/>
        <v/>
      </c>
      <c r="E109" s="4">
        <f t="shared" si="1"/>
        <v>2.7048130205372822</v>
      </c>
      <c r="F109" s="4">
        <f t="shared" si="2"/>
        <v>2.2472398721883335</v>
      </c>
      <c r="G109" s="4">
        <f t="shared" si="3"/>
        <v>1.6076087142448119</v>
      </c>
      <c r="H109" s="4">
        <f t="shared" si="4"/>
        <v>0.83773865909033429</v>
      </c>
      <c r="I109" s="4">
        <f t="shared" si="5"/>
        <v>0</v>
      </c>
      <c r="J109" s="4">
        <f t="shared" si="6"/>
        <v>-0.83773865909033429</v>
      </c>
      <c r="K109" s="4">
        <f t="shared" si="7"/>
        <v>-1.6076087142448114</v>
      </c>
      <c r="L109" s="4">
        <f t="shared" si="8"/>
        <v>-2.247239872188334</v>
      </c>
      <c r="M109" s="4">
        <f t="shared" si="9"/>
        <v>-2.7048130205372827</v>
      </c>
      <c r="N109" s="4" t="str">
        <f t="shared" si="10"/>
        <v/>
      </c>
      <c r="O109" s="4" t="str">
        <f t="shared" si="11"/>
        <v/>
      </c>
      <c r="P109" s="4" t="str">
        <f t="shared" si="12"/>
        <v/>
      </c>
      <c r="Q109" s="4" t="str">
        <f t="shared" si="13"/>
        <v/>
      </c>
      <c r="R109" s="4" t="str">
        <f t="shared" si="14"/>
        <v/>
      </c>
      <c r="S109" s="4" t="str">
        <f t="shared" si="15"/>
        <v/>
      </c>
      <c r="T109" s="4" t="str">
        <f t="shared" si="16"/>
        <v/>
      </c>
      <c r="U109" s="4" t="str">
        <f t="shared" si="17"/>
        <v/>
      </c>
      <c r="V109" s="4" t="str">
        <f t="shared" si="18"/>
        <v/>
      </c>
      <c r="W109" s="4" t="str">
        <f t="shared" si="19"/>
        <v/>
      </c>
      <c r="X109" s="4" t="str">
        <f t="shared" si="20"/>
        <v/>
      </c>
    </row>
    <row r="110" spans="1:24" x14ac:dyDescent="0.25">
      <c r="A110" s="2">
        <v>6</v>
      </c>
      <c r="B110" s="4">
        <f>IF(6&lt;=N_2,(6-0.5)*dx_2,"")</f>
        <v>0.5</v>
      </c>
      <c r="D110" s="4" t="str">
        <f t="shared" si="0"/>
        <v/>
      </c>
      <c r="E110" s="4">
        <f t="shared" si="1"/>
        <v>2.8190024261959996</v>
      </c>
      <c r="F110" s="4">
        <f t="shared" si="2"/>
        <v>2.342111859061121</v>
      </c>
      <c r="G110" s="4">
        <f t="shared" si="3"/>
        <v>1.6754773181806675</v>
      </c>
      <c r="H110" s="4">
        <f t="shared" si="4"/>
        <v>0.87310556942850392</v>
      </c>
      <c r="I110" s="4">
        <f t="shared" si="5"/>
        <v>0</v>
      </c>
      <c r="J110" s="4">
        <f t="shared" si="6"/>
        <v>-0.87310556942850392</v>
      </c>
      <c r="K110" s="4">
        <f t="shared" si="7"/>
        <v>-1.6754773181806668</v>
      </c>
      <c r="L110" s="4">
        <f t="shared" si="8"/>
        <v>-2.342111859061121</v>
      </c>
      <c r="M110" s="4">
        <f t="shared" si="9"/>
        <v>-2.8190024261960001</v>
      </c>
      <c r="N110" s="4" t="str">
        <f t="shared" si="10"/>
        <v/>
      </c>
      <c r="O110" s="4" t="str">
        <f t="shared" si="11"/>
        <v/>
      </c>
      <c r="P110" s="4" t="str">
        <f t="shared" si="12"/>
        <v/>
      </c>
      <c r="Q110" s="4" t="str">
        <f t="shared" si="13"/>
        <v/>
      </c>
      <c r="R110" s="4" t="str">
        <f t="shared" si="14"/>
        <v/>
      </c>
      <c r="S110" s="4" t="str">
        <f t="shared" si="15"/>
        <v/>
      </c>
      <c r="T110" s="4" t="str">
        <f t="shared" si="16"/>
        <v/>
      </c>
      <c r="U110" s="4" t="str">
        <f t="shared" si="17"/>
        <v/>
      </c>
      <c r="V110" s="4" t="str">
        <f t="shared" si="18"/>
        <v/>
      </c>
      <c r="W110" s="4" t="str">
        <f t="shared" si="19"/>
        <v/>
      </c>
      <c r="X110" s="4" t="str">
        <f t="shared" si="20"/>
        <v/>
      </c>
    </row>
    <row r="111" spans="1:24" x14ac:dyDescent="0.25">
      <c r="A111" s="2">
        <v>7</v>
      </c>
      <c r="B111" s="4">
        <f>IF(7&lt;=N_2,(7-0.5)*dx_2,"")</f>
        <v>0.59090909090909094</v>
      </c>
      <c r="D111" s="4" t="str">
        <f t="shared" si="0"/>
        <v/>
      </c>
      <c r="E111" s="4">
        <f t="shared" si="1"/>
        <v>2.7048130205372822</v>
      </c>
      <c r="F111" s="4">
        <f t="shared" si="2"/>
        <v>2.2472398721883335</v>
      </c>
      <c r="G111" s="4">
        <f t="shared" si="3"/>
        <v>1.6076087142448119</v>
      </c>
      <c r="H111" s="4">
        <f t="shared" si="4"/>
        <v>0.83773865909033429</v>
      </c>
      <c r="I111" s="4">
        <f t="shared" si="5"/>
        <v>0</v>
      </c>
      <c r="J111" s="4">
        <f t="shared" si="6"/>
        <v>-0.83773865909033429</v>
      </c>
      <c r="K111" s="4">
        <f t="shared" si="7"/>
        <v>-1.6076087142448114</v>
      </c>
      <c r="L111" s="4">
        <f t="shared" si="8"/>
        <v>-2.247239872188334</v>
      </c>
      <c r="M111" s="4">
        <f t="shared" si="9"/>
        <v>-2.7048130205372827</v>
      </c>
      <c r="N111" s="4" t="str">
        <f t="shared" si="10"/>
        <v/>
      </c>
      <c r="O111" s="4" t="str">
        <f t="shared" si="11"/>
        <v/>
      </c>
      <c r="P111" s="4" t="str">
        <f t="shared" si="12"/>
        <v/>
      </c>
      <c r="Q111" s="4" t="str">
        <f t="shared" si="13"/>
        <v/>
      </c>
      <c r="R111" s="4" t="str">
        <f t="shared" si="14"/>
        <v/>
      </c>
      <c r="S111" s="4" t="str">
        <f t="shared" si="15"/>
        <v/>
      </c>
      <c r="T111" s="4" t="str">
        <f t="shared" si="16"/>
        <v/>
      </c>
      <c r="U111" s="4" t="str">
        <f t="shared" si="17"/>
        <v/>
      </c>
      <c r="V111" s="4" t="str">
        <f t="shared" si="18"/>
        <v/>
      </c>
      <c r="W111" s="4" t="str">
        <f t="shared" si="19"/>
        <v/>
      </c>
      <c r="X111" s="4" t="str">
        <f t="shared" si="20"/>
        <v/>
      </c>
    </row>
    <row r="112" spans="1:24" x14ac:dyDescent="0.25">
      <c r="A112" s="2">
        <v>8</v>
      </c>
      <c r="B112" s="4">
        <f>IF(8&lt;=N_2,(8-0.5)*dx_2,"")</f>
        <v>0.68181818181818188</v>
      </c>
      <c r="D112" s="4" t="str">
        <f t="shared" si="0"/>
        <v/>
      </c>
      <c r="E112" s="4">
        <f t="shared" si="1"/>
        <v>2.3714957500970555</v>
      </c>
      <c r="F112" s="4">
        <f t="shared" si="2"/>
        <v>1.9703098757209729</v>
      </c>
      <c r="G112" s="4">
        <f t="shared" si="3"/>
        <v>1.4095012130979991</v>
      </c>
      <c r="H112" s="4">
        <f t="shared" si="4"/>
        <v>0.73450314481630918</v>
      </c>
      <c r="I112" s="4">
        <f t="shared" si="5"/>
        <v>0</v>
      </c>
      <c r="J112" s="4">
        <f t="shared" si="6"/>
        <v>-0.73450314481630918</v>
      </c>
      <c r="K112" s="4">
        <f t="shared" si="7"/>
        <v>-1.4095012130979985</v>
      </c>
      <c r="L112" s="4">
        <f t="shared" si="8"/>
        <v>-1.9703098757209732</v>
      </c>
      <c r="M112" s="4">
        <f t="shared" si="9"/>
        <v>-2.3714957500970564</v>
      </c>
      <c r="N112" s="4" t="str">
        <f t="shared" si="10"/>
        <v/>
      </c>
      <c r="O112" s="4" t="str">
        <f t="shared" si="11"/>
        <v/>
      </c>
      <c r="P112" s="4" t="str">
        <f t="shared" si="12"/>
        <v/>
      </c>
      <c r="Q112" s="4" t="str">
        <f t="shared" si="13"/>
        <v/>
      </c>
      <c r="R112" s="4" t="str">
        <f t="shared" si="14"/>
        <v/>
      </c>
      <c r="S112" s="4" t="str">
        <f t="shared" si="15"/>
        <v/>
      </c>
      <c r="T112" s="4" t="str">
        <f t="shared" si="16"/>
        <v/>
      </c>
      <c r="U112" s="4" t="str">
        <f t="shared" si="17"/>
        <v/>
      </c>
      <c r="V112" s="4" t="str">
        <f t="shared" si="18"/>
        <v/>
      </c>
      <c r="W112" s="4" t="str">
        <f t="shared" si="19"/>
        <v/>
      </c>
      <c r="X112" s="4" t="str">
        <f t="shared" si="20"/>
        <v/>
      </c>
    </row>
    <row r="113" spans="1:24" x14ac:dyDescent="0.25">
      <c r="A113" s="2">
        <v>9</v>
      </c>
      <c r="B113" s="4">
        <f>IF(9&lt;=N_2,(9-0.5)*dx_2,"")</f>
        <v>0.77272727272727271</v>
      </c>
      <c r="D113" s="4" t="str">
        <f t="shared" si="0"/>
        <v/>
      </c>
      <c r="E113" s="4">
        <f t="shared" si="1"/>
        <v>1.8460539978122521</v>
      </c>
      <c r="F113" s="4">
        <f t="shared" si="2"/>
        <v>1.5337570910067222</v>
      </c>
      <c r="G113" s="4">
        <f t="shared" si="3"/>
        <v>1.0972043062924699</v>
      </c>
      <c r="H113" s="4">
        <f t="shared" si="4"/>
        <v>0.57176255400766607</v>
      </c>
      <c r="I113" s="4">
        <f t="shared" si="5"/>
        <v>0</v>
      </c>
      <c r="J113" s="4">
        <f t="shared" si="6"/>
        <v>-0.57176255400766607</v>
      </c>
      <c r="K113" s="4">
        <f t="shared" si="7"/>
        <v>-1.0972043062924692</v>
      </c>
      <c r="L113" s="4">
        <f t="shared" si="8"/>
        <v>-1.5337570910067224</v>
      </c>
      <c r="M113" s="4">
        <f t="shared" si="9"/>
        <v>-1.8460539978122523</v>
      </c>
      <c r="N113" s="4" t="str">
        <f t="shared" si="10"/>
        <v/>
      </c>
      <c r="O113" s="4" t="str">
        <f t="shared" si="11"/>
        <v/>
      </c>
      <c r="P113" s="4" t="str">
        <f t="shared" si="12"/>
        <v/>
      </c>
      <c r="Q113" s="4" t="str">
        <f t="shared" si="13"/>
        <v/>
      </c>
      <c r="R113" s="4" t="str">
        <f t="shared" si="14"/>
        <v/>
      </c>
      <c r="S113" s="4" t="str">
        <f t="shared" si="15"/>
        <v/>
      </c>
      <c r="T113" s="4" t="str">
        <f t="shared" si="16"/>
        <v/>
      </c>
      <c r="U113" s="4" t="str">
        <f t="shared" si="17"/>
        <v/>
      </c>
      <c r="V113" s="4" t="str">
        <f t="shared" si="18"/>
        <v/>
      </c>
      <c r="W113" s="4" t="str">
        <f t="shared" si="19"/>
        <v/>
      </c>
      <c r="X113" s="4" t="str">
        <f t="shared" si="20"/>
        <v/>
      </c>
    </row>
    <row r="114" spans="1:24" x14ac:dyDescent="0.25">
      <c r="A114" s="2">
        <v>10</v>
      </c>
      <c r="B114" s="4">
        <f>IF(10&lt;=N_2,(10-0.5)*dx_2,"")</f>
        <v>0.86363636363636365</v>
      </c>
      <c r="D114" s="4" t="str">
        <f t="shared" si="0"/>
        <v/>
      </c>
      <c r="E114" s="4">
        <f t="shared" si="1"/>
        <v>1.1710559295305603</v>
      </c>
      <c r="F114" s="4">
        <f t="shared" si="2"/>
        <v>0.97294842838374784</v>
      </c>
      <c r="G114" s="4">
        <f t="shared" si="3"/>
        <v>0.69601843191638757</v>
      </c>
      <c r="H114" s="4">
        <f t="shared" si="4"/>
        <v>0.36270116147616127</v>
      </c>
      <c r="I114" s="4">
        <f t="shared" si="5"/>
        <v>0</v>
      </c>
      <c r="J114" s="4">
        <f t="shared" si="6"/>
        <v>-0.36270116147616127</v>
      </c>
      <c r="K114" s="4">
        <f t="shared" si="7"/>
        <v>-0.69601843191638724</v>
      </c>
      <c r="L114" s="4">
        <f t="shared" si="8"/>
        <v>-0.97294842838374784</v>
      </c>
      <c r="M114" s="4">
        <f t="shared" si="9"/>
        <v>-1.1710559295305605</v>
      </c>
      <c r="N114" s="4" t="str">
        <f t="shared" si="10"/>
        <v/>
      </c>
      <c r="O114" s="4" t="str">
        <f t="shared" si="11"/>
        <v/>
      </c>
      <c r="P114" s="4" t="str">
        <f t="shared" si="12"/>
        <v/>
      </c>
      <c r="Q114" s="4" t="str">
        <f t="shared" si="13"/>
        <v/>
      </c>
      <c r="R114" s="4" t="str">
        <f t="shared" si="14"/>
        <v/>
      </c>
      <c r="S114" s="4" t="str">
        <f t="shared" si="15"/>
        <v/>
      </c>
      <c r="T114" s="4" t="str">
        <f t="shared" si="16"/>
        <v/>
      </c>
      <c r="U114" s="4" t="str">
        <f t="shared" si="17"/>
        <v/>
      </c>
      <c r="V114" s="4" t="str">
        <f t="shared" si="18"/>
        <v/>
      </c>
      <c r="W114" s="4" t="str">
        <f t="shared" si="19"/>
        <v/>
      </c>
      <c r="X114" s="4" t="str">
        <f t="shared" si="20"/>
        <v/>
      </c>
    </row>
    <row r="115" spans="1:24" x14ac:dyDescent="0.25">
      <c r="A115" s="2">
        <v>11</v>
      </c>
      <c r="B115" s="4">
        <f>IF(11&lt;=N_2,(11-0.5)*dx_2,"")</f>
        <v>0.95454545454545459</v>
      </c>
      <c r="D115" s="4" t="str">
        <f t="shared" si="0"/>
        <v/>
      </c>
      <c r="E115" s="4" t="str">
        <f t="shared" si="1"/>
        <v/>
      </c>
      <c r="F115" s="4" t="str">
        <f t="shared" si="2"/>
        <v/>
      </c>
      <c r="G115" s="4" t="str">
        <f t="shared" si="3"/>
        <v/>
      </c>
      <c r="H115" s="4" t="str">
        <f t="shared" si="4"/>
        <v/>
      </c>
      <c r="I115" s="4" t="str">
        <f t="shared" si="5"/>
        <v/>
      </c>
      <c r="J115" s="4" t="str">
        <f t="shared" si="6"/>
        <v/>
      </c>
      <c r="K115" s="4" t="str">
        <f t="shared" si="7"/>
        <v/>
      </c>
      <c r="L115" s="4" t="str">
        <f t="shared" si="8"/>
        <v/>
      </c>
      <c r="M115" s="4" t="str">
        <f t="shared" si="9"/>
        <v/>
      </c>
      <c r="N115" s="4" t="str">
        <f t="shared" si="10"/>
        <v/>
      </c>
      <c r="O115" s="4" t="str">
        <f t="shared" si="11"/>
        <v/>
      </c>
      <c r="P115" s="4" t="str">
        <f t="shared" si="12"/>
        <v/>
      </c>
      <c r="Q115" s="4" t="str">
        <f t="shared" si="13"/>
        <v/>
      </c>
      <c r="R115" s="4" t="str">
        <f t="shared" si="14"/>
        <v/>
      </c>
      <c r="S115" s="4" t="str">
        <f t="shared" si="15"/>
        <v/>
      </c>
      <c r="T115" s="4" t="str">
        <f t="shared" si="16"/>
        <v/>
      </c>
      <c r="U115" s="4" t="str">
        <f t="shared" si="17"/>
        <v/>
      </c>
      <c r="V115" s="4" t="str">
        <f t="shared" si="18"/>
        <v/>
      </c>
      <c r="W115" s="4" t="str">
        <f t="shared" si="19"/>
        <v/>
      </c>
      <c r="X115" s="4" t="str">
        <f t="shared" si="20"/>
        <v/>
      </c>
    </row>
    <row r="116" spans="1:24" x14ac:dyDescent="0.25">
      <c r="A116" s="2">
        <v>12</v>
      </c>
      <c r="B116" s="4" t="str">
        <f>IF(12&lt;=N_2,(12-0.5)*dx_2,"")</f>
        <v/>
      </c>
      <c r="D116" s="4" t="str">
        <f t="shared" si="0"/>
        <v/>
      </c>
      <c r="E116" s="4" t="str">
        <f t="shared" si="1"/>
        <v/>
      </c>
      <c r="F116" s="4" t="str">
        <f t="shared" si="2"/>
        <v/>
      </c>
      <c r="G116" s="4" t="str">
        <f t="shared" si="3"/>
        <v/>
      </c>
      <c r="H116" s="4" t="str">
        <f t="shared" si="4"/>
        <v/>
      </c>
      <c r="I116" s="4" t="str">
        <f t="shared" si="5"/>
        <v/>
      </c>
      <c r="J116" s="4" t="str">
        <f t="shared" si="6"/>
        <v/>
      </c>
      <c r="K116" s="4" t="str">
        <f t="shared" si="7"/>
        <v/>
      </c>
      <c r="L116" s="4" t="str">
        <f t="shared" si="8"/>
        <v/>
      </c>
      <c r="M116" s="4" t="str">
        <f t="shared" si="9"/>
        <v/>
      </c>
      <c r="N116" s="4" t="str">
        <f t="shared" si="10"/>
        <v/>
      </c>
      <c r="O116" s="4" t="str">
        <f t="shared" si="11"/>
        <v/>
      </c>
      <c r="P116" s="4" t="str">
        <f t="shared" si="12"/>
        <v/>
      </c>
      <c r="Q116" s="4" t="str">
        <f t="shared" si="13"/>
        <v/>
      </c>
      <c r="R116" s="4" t="str">
        <f t="shared" si="14"/>
        <v/>
      </c>
      <c r="S116" s="4" t="str">
        <f t="shared" si="15"/>
        <v/>
      </c>
      <c r="T116" s="4" t="str">
        <f t="shared" si="16"/>
        <v/>
      </c>
      <c r="U116" s="4" t="str">
        <f t="shared" si="17"/>
        <v/>
      </c>
      <c r="V116" s="4" t="str">
        <f t="shared" si="18"/>
        <v/>
      </c>
      <c r="W116" s="4" t="str">
        <f t="shared" si="19"/>
        <v/>
      </c>
      <c r="X116" s="4" t="str">
        <f t="shared" si="20"/>
        <v/>
      </c>
    </row>
    <row r="117" spans="1:24" x14ac:dyDescent="0.25">
      <c r="A117" s="2">
        <v>13</v>
      </c>
      <c r="B117" s="4" t="str">
        <f>IF(13&lt;=N_2,(13-0.5)*dx_2,"")</f>
        <v/>
      </c>
      <c r="D117" s="4" t="str">
        <f t="shared" si="0"/>
        <v/>
      </c>
      <c r="E117" s="4" t="str">
        <f t="shared" si="1"/>
        <v/>
      </c>
      <c r="F117" s="4" t="str">
        <f t="shared" si="2"/>
        <v/>
      </c>
      <c r="G117" s="4" t="str">
        <f t="shared" si="3"/>
        <v/>
      </c>
      <c r="H117" s="4" t="str">
        <f t="shared" si="4"/>
        <v/>
      </c>
      <c r="I117" s="4" t="str">
        <f t="shared" si="5"/>
        <v/>
      </c>
      <c r="J117" s="4" t="str">
        <f t="shared" si="6"/>
        <v/>
      </c>
      <c r="K117" s="4" t="str">
        <f t="shared" si="7"/>
        <v/>
      </c>
      <c r="L117" s="4" t="str">
        <f t="shared" si="8"/>
        <v/>
      </c>
      <c r="M117" s="4" t="str">
        <f t="shared" si="9"/>
        <v/>
      </c>
      <c r="N117" s="4" t="str">
        <f t="shared" si="10"/>
        <v/>
      </c>
      <c r="O117" s="4" t="str">
        <f t="shared" si="11"/>
        <v/>
      </c>
      <c r="P117" s="4" t="str">
        <f t="shared" si="12"/>
        <v/>
      </c>
      <c r="Q117" s="4" t="str">
        <f t="shared" si="13"/>
        <v/>
      </c>
      <c r="R117" s="4" t="str">
        <f t="shared" si="14"/>
        <v/>
      </c>
      <c r="S117" s="4" t="str">
        <f t="shared" si="15"/>
        <v/>
      </c>
      <c r="T117" s="4" t="str">
        <f t="shared" si="16"/>
        <v/>
      </c>
      <c r="U117" s="4" t="str">
        <f t="shared" si="17"/>
        <v/>
      </c>
      <c r="V117" s="4" t="str">
        <f t="shared" si="18"/>
        <v/>
      </c>
      <c r="W117" s="4" t="str">
        <f t="shared" si="19"/>
        <v/>
      </c>
      <c r="X117" s="4" t="str">
        <f t="shared" si="20"/>
        <v/>
      </c>
    </row>
    <row r="118" spans="1:24" x14ac:dyDescent="0.25">
      <c r="A118" s="2">
        <v>14</v>
      </c>
      <c r="B118" s="4" t="str">
        <f>IF(14&lt;=N_2,(14-0.5)*dx_2,"")</f>
        <v/>
      </c>
      <c r="D118" s="4" t="str">
        <f t="shared" si="0"/>
        <v/>
      </c>
      <c r="E118" s="4" t="str">
        <f t="shared" si="1"/>
        <v/>
      </c>
      <c r="F118" s="4" t="str">
        <f t="shared" si="2"/>
        <v/>
      </c>
      <c r="G118" s="4" t="str">
        <f t="shared" si="3"/>
        <v/>
      </c>
      <c r="H118" s="4" t="str">
        <f t="shared" si="4"/>
        <v/>
      </c>
      <c r="I118" s="4" t="str">
        <f t="shared" si="5"/>
        <v/>
      </c>
      <c r="J118" s="4" t="str">
        <f t="shared" si="6"/>
        <v/>
      </c>
      <c r="K118" s="4" t="str">
        <f t="shared" si="7"/>
        <v/>
      </c>
      <c r="L118" s="4" t="str">
        <f t="shared" si="8"/>
        <v/>
      </c>
      <c r="M118" s="4" t="str">
        <f t="shared" si="9"/>
        <v/>
      </c>
      <c r="N118" s="4" t="str">
        <f t="shared" si="10"/>
        <v/>
      </c>
      <c r="O118" s="4" t="str">
        <f t="shared" si="11"/>
        <v/>
      </c>
      <c r="P118" s="4" t="str">
        <f t="shared" si="12"/>
        <v/>
      </c>
      <c r="Q118" s="4" t="str">
        <f t="shared" si="13"/>
        <v/>
      </c>
      <c r="R118" s="4" t="str">
        <f t="shared" si="14"/>
        <v/>
      </c>
      <c r="S118" s="4" t="str">
        <f t="shared" si="15"/>
        <v/>
      </c>
      <c r="T118" s="4" t="str">
        <f t="shared" si="16"/>
        <v/>
      </c>
      <c r="U118" s="4" t="str">
        <f t="shared" si="17"/>
        <v/>
      </c>
      <c r="V118" s="4" t="str">
        <f t="shared" si="18"/>
        <v/>
      </c>
      <c r="W118" s="4" t="str">
        <f t="shared" si="19"/>
        <v/>
      </c>
      <c r="X118" s="4" t="str">
        <f t="shared" si="20"/>
        <v/>
      </c>
    </row>
    <row r="119" spans="1:24" x14ac:dyDescent="0.25">
      <c r="A119" s="2">
        <v>15</v>
      </c>
      <c r="B119" s="4" t="str">
        <f>IF(15&lt;=N_2,(15-0.5)*dx_2,"")</f>
        <v/>
      </c>
      <c r="D119" s="4" t="str">
        <f t="shared" si="0"/>
        <v/>
      </c>
      <c r="E119" s="4" t="str">
        <f t="shared" si="1"/>
        <v/>
      </c>
      <c r="F119" s="4" t="str">
        <f t="shared" si="2"/>
        <v/>
      </c>
      <c r="G119" s="4" t="str">
        <f t="shared" si="3"/>
        <v/>
      </c>
      <c r="H119" s="4" t="str">
        <f t="shared" si="4"/>
        <v/>
      </c>
      <c r="I119" s="4" t="str">
        <f t="shared" si="5"/>
        <v/>
      </c>
      <c r="J119" s="4" t="str">
        <f t="shared" si="6"/>
        <v/>
      </c>
      <c r="K119" s="4" t="str">
        <f t="shared" si="7"/>
        <v/>
      </c>
      <c r="L119" s="4" t="str">
        <f t="shared" si="8"/>
        <v/>
      </c>
      <c r="M119" s="4" t="str">
        <f t="shared" si="9"/>
        <v/>
      </c>
      <c r="N119" s="4" t="str">
        <f t="shared" si="10"/>
        <v/>
      </c>
      <c r="O119" s="4" t="str">
        <f t="shared" si="11"/>
        <v/>
      </c>
      <c r="P119" s="4" t="str">
        <f t="shared" si="12"/>
        <v/>
      </c>
      <c r="Q119" s="4" t="str">
        <f t="shared" si="13"/>
        <v/>
      </c>
      <c r="R119" s="4" t="str">
        <f t="shared" si="14"/>
        <v/>
      </c>
      <c r="S119" s="4" t="str">
        <f t="shared" si="15"/>
        <v/>
      </c>
      <c r="T119" s="4" t="str">
        <f t="shared" si="16"/>
        <v/>
      </c>
      <c r="U119" s="4" t="str">
        <f t="shared" si="17"/>
        <v/>
      </c>
      <c r="V119" s="4" t="str">
        <f t="shared" si="18"/>
        <v/>
      </c>
      <c r="W119" s="4" t="str">
        <f t="shared" si="19"/>
        <v/>
      </c>
      <c r="X119" s="4" t="str">
        <f t="shared" si="20"/>
        <v/>
      </c>
    </row>
    <row r="120" spans="1:24" x14ac:dyDescent="0.25">
      <c r="A120" s="2">
        <v>16</v>
      </c>
      <c r="B120" s="4" t="str">
        <f>IF(16&lt;=N_2,(16-0.5)*dx_2,"")</f>
        <v/>
      </c>
      <c r="D120" s="4" t="str">
        <f t="shared" si="0"/>
        <v/>
      </c>
      <c r="E120" s="4" t="str">
        <f t="shared" si="1"/>
        <v/>
      </c>
      <c r="F120" s="4" t="str">
        <f t="shared" si="2"/>
        <v/>
      </c>
      <c r="G120" s="4" t="str">
        <f t="shared" si="3"/>
        <v/>
      </c>
      <c r="H120" s="4" t="str">
        <f t="shared" si="4"/>
        <v/>
      </c>
      <c r="I120" s="4" t="str">
        <f t="shared" si="5"/>
        <v/>
      </c>
      <c r="J120" s="4" t="str">
        <f t="shared" si="6"/>
        <v/>
      </c>
      <c r="K120" s="4" t="str">
        <f t="shared" si="7"/>
        <v/>
      </c>
      <c r="L120" s="4" t="str">
        <f t="shared" si="8"/>
        <v/>
      </c>
      <c r="M120" s="4" t="str">
        <f t="shared" si="9"/>
        <v/>
      </c>
      <c r="N120" s="4" t="str">
        <f t="shared" si="10"/>
        <v/>
      </c>
      <c r="O120" s="4" t="str">
        <f t="shared" si="11"/>
        <v/>
      </c>
      <c r="P120" s="4" t="str">
        <f t="shared" si="12"/>
        <v/>
      </c>
      <c r="Q120" s="4" t="str">
        <f t="shared" si="13"/>
        <v/>
      </c>
      <c r="R120" s="4" t="str">
        <f t="shared" si="14"/>
        <v/>
      </c>
      <c r="S120" s="4" t="str">
        <f t="shared" si="15"/>
        <v/>
      </c>
      <c r="T120" s="4" t="str">
        <f t="shared" si="16"/>
        <v/>
      </c>
      <c r="U120" s="4" t="str">
        <f t="shared" si="17"/>
        <v/>
      </c>
      <c r="V120" s="4" t="str">
        <f t="shared" si="18"/>
        <v/>
      </c>
      <c r="W120" s="4" t="str">
        <f t="shared" si="19"/>
        <v/>
      </c>
      <c r="X120" s="4" t="str">
        <f t="shared" si="20"/>
        <v/>
      </c>
    </row>
    <row r="121" spans="1:24" x14ac:dyDescent="0.25">
      <c r="A121" s="2">
        <v>17</v>
      </c>
      <c r="B121" s="4" t="str">
        <f>IF(17&lt;=N_2,(17-0.5)*dx_2,"")</f>
        <v/>
      </c>
      <c r="D121" s="4" t="str">
        <f t="shared" si="0"/>
        <v/>
      </c>
      <c r="E121" s="4" t="str">
        <f t="shared" si="1"/>
        <v/>
      </c>
      <c r="F121" s="4" t="str">
        <f t="shared" si="2"/>
        <v/>
      </c>
      <c r="G121" s="4" t="str">
        <f t="shared" si="3"/>
        <v/>
      </c>
      <c r="H121" s="4" t="str">
        <f t="shared" si="4"/>
        <v/>
      </c>
      <c r="I121" s="4" t="str">
        <f t="shared" si="5"/>
        <v/>
      </c>
      <c r="J121" s="4" t="str">
        <f t="shared" si="6"/>
        <v/>
      </c>
      <c r="K121" s="4" t="str">
        <f t="shared" si="7"/>
        <v/>
      </c>
      <c r="L121" s="4" t="str">
        <f t="shared" si="8"/>
        <v/>
      </c>
      <c r="M121" s="4" t="str">
        <f t="shared" si="9"/>
        <v/>
      </c>
      <c r="N121" s="4" t="str">
        <f t="shared" si="10"/>
        <v/>
      </c>
      <c r="O121" s="4" t="str">
        <f t="shared" si="11"/>
        <v/>
      </c>
      <c r="P121" s="4" t="str">
        <f t="shared" si="12"/>
        <v/>
      </c>
      <c r="Q121" s="4" t="str">
        <f t="shared" si="13"/>
        <v/>
      </c>
      <c r="R121" s="4" t="str">
        <f t="shared" si="14"/>
        <v/>
      </c>
      <c r="S121" s="4" t="str">
        <f t="shared" si="15"/>
        <v/>
      </c>
      <c r="T121" s="4" t="str">
        <f t="shared" si="16"/>
        <v/>
      </c>
      <c r="U121" s="4" t="str">
        <f t="shared" si="17"/>
        <v/>
      </c>
      <c r="V121" s="4" t="str">
        <f t="shared" si="18"/>
        <v/>
      </c>
      <c r="W121" s="4" t="str">
        <f t="shared" si="19"/>
        <v/>
      </c>
      <c r="X121" s="4" t="str">
        <f t="shared" si="20"/>
        <v/>
      </c>
    </row>
    <row r="122" spans="1:24" x14ac:dyDescent="0.25">
      <c r="A122" s="2">
        <v>18</v>
      </c>
      <c r="B122" s="4" t="str">
        <f>IF(18&lt;=N_2,(18-0.5)*dx_2,"")</f>
        <v/>
      </c>
      <c r="D122" s="4" t="str">
        <f t="shared" si="0"/>
        <v/>
      </c>
      <c r="E122" s="4" t="str">
        <f t="shared" si="1"/>
        <v/>
      </c>
      <c r="F122" s="4" t="str">
        <f t="shared" si="2"/>
        <v/>
      </c>
      <c r="G122" s="4" t="str">
        <f t="shared" si="3"/>
        <v/>
      </c>
      <c r="H122" s="4" t="str">
        <f t="shared" si="4"/>
        <v/>
      </c>
      <c r="I122" s="4" t="str">
        <f t="shared" si="5"/>
        <v/>
      </c>
      <c r="J122" s="4" t="str">
        <f t="shared" si="6"/>
        <v/>
      </c>
      <c r="K122" s="4" t="str">
        <f t="shared" si="7"/>
        <v/>
      </c>
      <c r="L122" s="4" t="str">
        <f t="shared" si="8"/>
        <v/>
      </c>
      <c r="M122" s="4" t="str">
        <f t="shared" si="9"/>
        <v/>
      </c>
      <c r="N122" s="4" t="str">
        <f t="shared" si="10"/>
        <v/>
      </c>
      <c r="O122" s="4" t="str">
        <f t="shared" si="11"/>
        <v/>
      </c>
      <c r="P122" s="4" t="str">
        <f t="shared" si="12"/>
        <v/>
      </c>
      <c r="Q122" s="4" t="str">
        <f t="shared" si="13"/>
        <v/>
      </c>
      <c r="R122" s="4" t="str">
        <f t="shared" si="14"/>
        <v/>
      </c>
      <c r="S122" s="4" t="str">
        <f t="shared" si="15"/>
        <v/>
      </c>
      <c r="T122" s="4" t="str">
        <f t="shared" si="16"/>
        <v/>
      </c>
      <c r="U122" s="4" t="str">
        <f t="shared" si="17"/>
        <v/>
      </c>
      <c r="V122" s="4" t="str">
        <f t="shared" si="18"/>
        <v/>
      </c>
      <c r="W122" s="4" t="str">
        <f t="shared" si="19"/>
        <v/>
      </c>
      <c r="X122" s="4" t="str">
        <f t="shared" si="20"/>
        <v/>
      </c>
    </row>
    <row r="123" spans="1:24" x14ac:dyDescent="0.25">
      <c r="A123" s="2">
        <v>19</v>
      </c>
      <c r="B123" s="4" t="str">
        <f>IF(19&lt;=N_2,(19-0.5)*dx_2,"")</f>
        <v/>
      </c>
      <c r="D123" s="4" t="str">
        <f t="shared" si="0"/>
        <v/>
      </c>
      <c r="E123" s="4" t="str">
        <f t="shared" si="1"/>
        <v/>
      </c>
      <c r="F123" s="4" t="str">
        <f t="shared" si="2"/>
        <v/>
      </c>
      <c r="G123" s="4" t="str">
        <f t="shared" si="3"/>
        <v/>
      </c>
      <c r="H123" s="4" t="str">
        <f t="shared" si="4"/>
        <v/>
      </c>
      <c r="I123" s="4" t="str">
        <f t="shared" si="5"/>
        <v/>
      </c>
      <c r="J123" s="4" t="str">
        <f t="shared" si="6"/>
        <v/>
      </c>
      <c r="K123" s="4" t="str">
        <f t="shared" si="7"/>
        <v/>
      </c>
      <c r="L123" s="4" t="str">
        <f t="shared" si="8"/>
        <v/>
      </c>
      <c r="M123" s="4" t="str">
        <f t="shared" si="9"/>
        <v/>
      </c>
      <c r="N123" s="4" t="str">
        <f t="shared" si="10"/>
        <v/>
      </c>
      <c r="O123" s="4" t="str">
        <f t="shared" si="11"/>
        <v/>
      </c>
      <c r="P123" s="4" t="str">
        <f t="shared" si="12"/>
        <v/>
      </c>
      <c r="Q123" s="4" t="str">
        <f t="shared" si="13"/>
        <v/>
      </c>
      <c r="R123" s="4" t="str">
        <f t="shared" si="14"/>
        <v/>
      </c>
      <c r="S123" s="4" t="str">
        <f t="shared" si="15"/>
        <v/>
      </c>
      <c r="T123" s="4" t="str">
        <f t="shared" si="16"/>
        <v/>
      </c>
      <c r="U123" s="4" t="str">
        <f t="shared" si="17"/>
        <v/>
      </c>
      <c r="V123" s="4" t="str">
        <f t="shared" si="18"/>
        <v/>
      </c>
      <c r="W123" s="4" t="str">
        <f t="shared" si="19"/>
        <v/>
      </c>
      <c r="X123" s="4" t="str">
        <f t="shared" si="20"/>
        <v/>
      </c>
    </row>
    <row r="124" spans="1:24" x14ac:dyDescent="0.25">
      <c r="A124" s="2">
        <v>20</v>
      </c>
      <c r="B124" s="4" t="str">
        <f>IF(20&lt;=N_2,(20-0.5)*dx_2,"")</f>
        <v/>
      </c>
      <c r="D124" s="4" t="str">
        <f t="shared" si="0"/>
        <v/>
      </c>
      <c r="E124" s="4" t="str">
        <f t="shared" si="1"/>
        <v/>
      </c>
      <c r="F124" s="4" t="str">
        <f t="shared" si="2"/>
        <v/>
      </c>
      <c r="G124" s="4" t="str">
        <f t="shared" si="3"/>
        <v/>
      </c>
      <c r="H124" s="4" t="str">
        <f t="shared" si="4"/>
        <v/>
      </c>
      <c r="I124" s="4" t="str">
        <f t="shared" si="5"/>
        <v/>
      </c>
      <c r="J124" s="4" t="str">
        <f t="shared" si="6"/>
        <v/>
      </c>
      <c r="K124" s="4" t="str">
        <f t="shared" si="7"/>
        <v/>
      </c>
      <c r="L124" s="4" t="str">
        <f t="shared" si="8"/>
        <v/>
      </c>
      <c r="M124" s="4" t="str">
        <f t="shared" si="9"/>
        <v/>
      </c>
      <c r="N124" s="4" t="str">
        <f t="shared" si="10"/>
        <v/>
      </c>
      <c r="O124" s="4" t="str">
        <f t="shared" si="11"/>
        <v/>
      </c>
      <c r="P124" s="4" t="str">
        <f t="shared" si="12"/>
        <v/>
      </c>
      <c r="Q124" s="4" t="str">
        <f t="shared" si="13"/>
        <v/>
      </c>
      <c r="R124" s="4" t="str">
        <f t="shared" si="14"/>
        <v/>
      </c>
      <c r="S124" s="4" t="str">
        <f t="shared" si="15"/>
        <v/>
      </c>
      <c r="T124" s="4" t="str">
        <f t="shared" si="16"/>
        <v/>
      </c>
      <c r="U124" s="4" t="str">
        <f t="shared" si="17"/>
        <v/>
      </c>
      <c r="V124" s="4" t="str">
        <f t="shared" si="18"/>
        <v/>
      </c>
      <c r="W124" s="4" t="str">
        <f t="shared" si="19"/>
        <v/>
      </c>
      <c r="X124" s="4" t="str">
        <f t="shared" si="20"/>
        <v/>
      </c>
    </row>
    <row r="125" spans="1:24" x14ac:dyDescent="0.25">
      <c r="A125" s="2">
        <v>21</v>
      </c>
      <c r="B125" s="4" t="str">
        <f>IF(21&lt;=N_2,(21-0.5)*dx_2,"")</f>
        <v/>
      </c>
      <c r="D125" s="4" t="str">
        <f t="shared" si="0"/>
        <v/>
      </c>
      <c r="E125" s="4" t="str">
        <f t="shared" si="1"/>
        <v/>
      </c>
      <c r="F125" s="4" t="str">
        <f t="shared" si="2"/>
        <v/>
      </c>
      <c r="G125" s="4" t="str">
        <f t="shared" si="3"/>
        <v/>
      </c>
      <c r="H125" s="4" t="str">
        <f t="shared" si="4"/>
        <v/>
      </c>
      <c r="I125" s="4" t="str">
        <f t="shared" si="5"/>
        <v/>
      </c>
      <c r="J125" s="4" t="str">
        <f t="shared" si="6"/>
        <v/>
      </c>
      <c r="K125" s="4" t="str">
        <f t="shared" si="7"/>
        <v/>
      </c>
      <c r="L125" s="4" t="str">
        <f t="shared" si="8"/>
        <v/>
      </c>
      <c r="M125" s="4" t="str">
        <f t="shared" si="9"/>
        <v/>
      </c>
      <c r="N125" s="4" t="str">
        <f t="shared" si="10"/>
        <v/>
      </c>
      <c r="O125" s="4" t="str">
        <f t="shared" si="11"/>
        <v/>
      </c>
      <c r="P125" s="4" t="str">
        <f t="shared" si="12"/>
        <v/>
      </c>
      <c r="Q125" s="4" t="str">
        <f t="shared" si="13"/>
        <v/>
      </c>
      <c r="R125" s="4" t="str">
        <f t="shared" si="14"/>
        <v/>
      </c>
      <c r="S125" s="4" t="str">
        <f t="shared" si="15"/>
        <v/>
      </c>
      <c r="T125" s="4" t="str">
        <f t="shared" si="16"/>
        <v/>
      </c>
      <c r="U125" s="4" t="str">
        <f t="shared" si="17"/>
        <v/>
      </c>
      <c r="V125" s="4" t="str">
        <f t="shared" si="18"/>
        <v/>
      </c>
      <c r="W125" s="4" t="str">
        <f t="shared" si="19"/>
        <v/>
      </c>
      <c r="X125" s="4" t="str">
        <f t="shared" si="20"/>
        <v/>
      </c>
    </row>
    <row r="129" spans="1:24" ht="15.75" x14ac:dyDescent="0.25">
      <c r="A129" s="5" t="s">
        <v>88</v>
      </c>
    </row>
    <row r="130" spans="1:24" x14ac:dyDescent="0.25">
      <c r="A130" s="2" t="s">
        <v>48</v>
      </c>
      <c r="D130" s="2">
        <v>1</v>
      </c>
      <c r="E130" s="2">
        <v>2</v>
      </c>
      <c r="F130" s="2">
        <v>3</v>
      </c>
      <c r="G130" s="2">
        <v>4</v>
      </c>
      <c r="H130" s="2">
        <v>5</v>
      </c>
      <c r="I130" s="2">
        <v>6</v>
      </c>
      <c r="J130" s="2">
        <v>7</v>
      </c>
      <c r="K130" s="2">
        <v>8</v>
      </c>
      <c r="L130" s="2">
        <v>9</v>
      </c>
      <c r="M130" s="2">
        <v>10</v>
      </c>
      <c r="N130" s="2">
        <v>11</v>
      </c>
      <c r="O130" s="2">
        <v>12</v>
      </c>
      <c r="P130" s="2">
        <v>13</v>
      </c>
      <c r="Q130" s="2">
        <v>14</v>
      </c>
      <c r="R130" s="2">
        <v>15</v>
      </c>
      <c r="S130" s="2">
        <v>16</v>
      </c>
      <c r="T130" s="2">
        <v>17</v>
      </c>
      <c r="U130" s="2">
        <v>18</v>
      </c>
      <c r="V130" s="2">
        <v>19</v>
      </c>
      <c r="W130" s="2">
        <v>20</v>
      </c>
      <c r="X130" s="2">
        <v>21</v>
      </c>
    </row>
    <row r="131" spans="1:24" x14ac:dyDescent="0.25">
      <c r="A131" s="2" t="s">
        <v>49</v>
      </c>
      <c r="D131" s="4">
        <f>IF(1&lt;=N_2,(1-0.5)*dx_2,"")</f>
        <v>4.5454545454545456E-2</v>
      </c>
      <c r="E131" s="4">
        <f>IF(2&lt;=N_2,(2-0.5)*dx_2,"")</f>
        <v>0.13636363636363635</v>
      </c>
      <c r="F131" s="4">
        <f>IF(3&lt;=N_2,(3-0.5)*dx_2,"")</f>
        <v>0.22727272727272729</v>
      </c>
      <c r="G131" s="4">
        <f>IF(4&lt;=N_2,(4-0.5)*dx_2,"")</f>
        <v>0.31818181818181818</v>
      </c>
      <c r="H131" s="4">
        <f>IF(5&lt;=N_2,(5-0.5)*dx_2,"")</f>
        <v>0.40909090909090912</v>
      </c>
      <c r="I131" s="4">
        <f>IF(6&lt;=N_2,(6-0.5)*dx_2,"")</f>
        <v>0.5</v>
      </c>
      <c r="J131" s="4">
        <f>IF(7&lt;=N_2,(7-0.5)*dx_2,"")</f>
        <v>0.59090909090909094</v>
      </c>
      <c r="K131" s="4">
        <f>IF(8&lt;=N_2,(8-0.5)*dx_2,"")</f>
        <v>0.68181818181818188</v>
      </c>
      <c r="L131" s="4">
        <f>IF(9&lt;=N_2,(9-0.5)*dx_2,"")</f>
        <v>0.77272727272727271</v>
      </c>
      <c r="M131" s="4">
        <f>IF(10&lt;=N_2,(10-0.5)*dx_2,"")</f>
        <v>0.86363636363636365</v>
      </c>
      <c r="N131" s="4">
        <f>IF(11&lt;=N_2,(11-0.5)*dx_2,"")</f>
        <v>0.95454545454545459</v>
      </c>
      <c r="O131" s="4" t="str">
        <f>IF(12&lt;=N_2,(12-0.5)*dx_2,"")</f>
        <v/>
      </c>
      <c r="P131" s="4" t="str">
        <f>IF(13&lt;=N_2,(13-0.5)*dx_2,"")</f>
        <v/>
      </c>
      <c r="Q131" s="4" t="str">
        <f>IF(14&lt;=N_2,(14-0.5)*dx_2,"")</f>
        <v/>
      </c>
      <c r="R131" s="4" t="str">
        <f>IF(15&lt;=N_2,(15-0.5)*dx_2,"")</f>
        <v/>
      </c>
      <c r="S131" s="4" t="str">
        <f>IF(16&lt;=N_2,(16-0.5)*dx_2,"")</f>
        <v/>
      </c>
      <c r="T131" s="4" t="str">
        <f>IF(17&lt;=N_2,(17-0.5)*dx_2,"")</f>
        <v/>
      </c>
      <c r="U131" s="4" t="str">
        <f>IF(18&lt;=N_2,(18-0.5)*dx_2,"")</f>
        <v/>
      </c>
      <c r="V131" s="4" t="str">
        <f>IF(19&lt;=N_2,(19-0.5)*dx_2,"")</f>
        <v/>
      </c>
      <c r="W131" s="4" t="str">
        <f>IF(20&lt;=N_2,(20-0.5)*dx_2,"")</f>
        <v/>
      </c>
      <c r="X131" s="4" t="str">
        <f>IF(21&lt;=N_2,(21-0.5)*dx_2,"")</f>
        <v/>
      </c>
    </row>
    <row r="132" spans="1:24" x14ac:dyDescent="0.25">
      <c r="A132" s="2" t="s">
        <v>50</v>
      </c>
      <c r="B132" s="2" t="s">
        <v>51</v>
      </c>
    </row>
    <row r="133" spans="1:24" x14ac:dyDescent="0.25">
      <c r="A133" s="2">
        <v>1</v>
      </c>
      <c r="B133" s="4">
        <f>IF(1&lt;=N_2,(1-0.5)*dx_2,"")</f>
        <v>4.5454545454545456E-2</v>
      </c>
      <c r="D133" s="8" t="str">
        <f t="shared" ref="D133:X133" si="21">IF(COUNT(D105)&lt;1,"",ABS(D105-(PI()*U0/L)*COS(PI()*D$131/L)*SIN(PI()*$B133/L)))</f>
        <v/>
      </c>
      <c r="E133" s="8" t="str">
        <f t="shared" si="21"/>
        <v/>
      </c>
      <c r="F133" s="8" t="str">
        <f t="shared" si="21"/>
        <v/>
      </c>
      <c r="G133" s="8" t="str">
        <f t="shared" si="21"/>
        <v/>
      </c>
      <c r="H133" s="8" t="str">
        <f t="shared" si="21"/>
        <v/>
      </c>
      <c r="I133" s="8" t="str">
        <f t="shared" si="21"/>
        <v/>
      </c>
      <c r="J133" s="8" t="str">
        <f t="shared" si="21"/>
        <v/>
      </c>
      <c r="K133" s="8" t="str">
        <f t="shared" si="21"/>
        <v/>
      </c>
      <c r="L133" s="8" t="str">
        <f t="shared" si="21"/>
        <v/>
      </c>
      <c r="M133" s="8" t="str">
        <f t="shared" si="21"/>
        <v/>
      </c>
      <c r="N133" s="8" t="str">
        <f t="shared" si="21"/>
        <v/>
      </c>
      <c r="O133" s="8" t="str">
        <f t="shared" si="21"/>
        <v/>
      </c>
      <c r="P133" s="8" t="str">
        <f t="shared" si="21"/>
        <v/>
      </c>
      <c r="Q133" s="8" t="str">
        <f t="shared" si="21"/>
        <v/>
      </c>
      <c r="R133" s="8" t="str">
        <f t="shared" si="21"/>
        <v/>
      </c>
      <c r="S133" s="8" t="str">
        <f t="shared" si="21"/>
        <v/>
      </c>
      <c r="T133" s="8" t="str">
        <f t="shared" si="21"/>
        <v/>
      </c>
      <c r="U133" s="8" t="str">
        <f t="shared" si="21"/>
        <v/>
      </c>
      <c r="V133" s="8" t="str">
        <f t="shared" si="21"/>
        <v/>
      </c>
      <c r="W133" s="8" t="str">
        <f t="shared" si="21"/>
        <v/>
      </c>
      <c r="X133" s="8" t="str">
        <f t="shared" si="21"/>
        <v/>
      </c>
    </row>
    <row r="134" spans="1:24" x14ac:dyDescent="0.25">
      <c r="A134" s="2">
        <v>2</v>
      </c>
      <c r="B134" s="4">
        <f>IF(2&lt;=N_2,(2-0.5)*dx_2,"")</f>
        <v>0.13636363636363635</v>
      </c>
      <c r="D134" s="8" t="str">
        <f t="shared" ref="D134:X134" si="22">IF(COUNT(D106)&lt;1,"",ABS(D106-(PI()*U0/L)*COS(PI()*D$131/L)*SIN(PI()*$B134/L)))</f>
        <v/>
      </c>
      <c r="E134" s="8">
        <f t="shared" si="22"/>
        <v>1.6072725841914881E-2</v>
      </c>
      <c r="F134" s="8">
        <f t="shared" si="22"/>
        <v>1.3353703229189495E-2</v>
      </c>
      <c r="G134" s="8">
        <f t="shared" si="22"/>
        <v>9.552842998366895E-3</v>
      </c>
      <c r="H134" s="8">
        <f t="shared" si="22"/>
        <v>4.9780682407604138E-3</v>
      </c>
      <c r="I134" s="8">
        <f t="shared" si="22"/>
        <v>7.9944903286987894E-17</v>
      </c>
      <c r="J134" s="8">
        <f t="shared" si="22"/>
        <v>4.9780682407605248E-3</v>
      </c>
      <c r="K134" s="8">
        <f t="shared" si="22"/>
        <v>9.5528429983672281E-3</v>
      </c>
      <c r="L134" s="8">
        <f t="shared" si="22"/>
        <v>1.3353703229189384E-2</v>
      </c>
      <c r="M134" s="8">
        <f t="shared" si="22"/>
        <v>1.6072725841914659E-2</v>
      </c>
      <c r="N134" s="8" t="str">
        <f t="shared" si="22"/>
        <v/>
      </c>
      <c r="O134" s="8" t="str">
        <f t="shared" si="22"/>
        <v/>
      </c>
      <c r="P134" s="8" t="str">
        <f t="shared" si="22"/>
        <v/>
      </c>
      <c r="Q134" s="8" t="str">
        <f t="shared" si="22"/>
        <v/>
      </c>
      <c r="R134" s="8" t="str">
        <f t="shared" si="22"/>
        <v/>
      </c>
      <c r="S134" s="8" t="str">
        <f t="shared" si="22"/>
        <v/>
      </c>
      <c r="T134" s="8" t="str">
        <f t="shared" si="22"/>
        <v/>
      </c>
      <c r="U134" s="8" t="str">
        <f t="shared" si="22"/>
        <v/>
      </c>
      <c r="V134" s="8" t="str">
        <f t="shared" si="22"/>
        <v/>
      </c>
      <c r="W134" s="8" t="str">
        <f t="shared" si="22"/>
        <v/>
      </c>
      <c r="X134" s="8" t="str">
        <f t="shared" si="22"/>
        <v/>
      </c>
    </row>
    <row r="135" spans="1:24" x14ac:dyDescent="0.25">
      <c r="A135" s="2">
        <v>3</v>
      </c>
      <c r="B135" s="4">
        <f>IF(3&lt;=N_2,(3-0.5)*dx_2,"")</f>
        <v>0.22727272727272729</v>
      </c>
      <c r="D135" s="8" t="str">
        <f t="shared" ref="D135:X135" si="23">IF(COUNT(D107)&lt;1,"",ABS(D107-(PI()*U0/L)*COS(PI()*D$131/L)*SIN(PI()*$B135/L)))</f>
        <v/>
      </c>
      <c r="E135" s="8">
        <f t="shared" si="23"/>
        <v>2.5337064650790664E-2</v>
      </c>
      <c r="F135" s="8">
        <f t="shared" si="23"/>
        <v>2.1050794082675184E-2</v>
      </c>
      <c r="G135" s="8">
        <f t="shared" si="23"/>
        <v>1.5059113371875821E-2</v>
      </c>
      <c r="H135" s="8">
        <f t="shared" si="23"/>
        <v>7.8474328556807915E-3</v>
      </c>
      <c r="I135" s="8">
        <f t="shared" si="23"/>
        <v>1.2602524319809308E-16</v>
      </c>
      <c r="J135" s="8">
        <f t="shared" si="23"/>
        <v>7.8474328556809025E-3</v>
      </c>
      <c r="K135" s="8">
        <f t="shared" si="23"/>
        <v>1.5059113371876265E-2</v>
      </c>
      <c r="L135" s="8">
        <f t="shared" si="23"/>
        <v>2.1050794082674962E-2</v>
      </c>
      <c r="M135" s="8">
        <f t="shared" si="23"/>
        <v>2.533706465079022E-2</v>
      </c>
      <c r="N135" s="8" t="str">
        <f t="shared" si="23"/>
        <v/>
      </c>
      <c r="O135" s="8" t="str">
        <f t="shared" si="23"/>
        <v/>
      </c>
      <c r="P135" s="8" t="str">
        <f t="shared" si="23"/>
        <v/>
      </c>
      <c r="Q135" s="8" t="str">
        <f t="shared" si="23"/>
        <v/>
      </c>
      <c r="R135" s="8" t="str">
        <f t="shared" si="23"/>
        <v/>
      </c>
      <c r="S135" s="8" t="str">
        <f t="shared" si="23"/>
        <v/>
      </c>
      <c r="T135" s="8" t="str">
        <f t="shared" si="23"/>
        <v/>
      </c>
      <c r="U135" s="8" t="str">
        <f t="shared" si="23"/>
        <v/>
      </c>
      <c r="V135" s="8" t="str">
        <f t="shared" si="23"/>
        <v/>
      </c>
      <c r="W135" s="8" t="str">
        <f t="shared" si="23"/>
        <v/>
      </c>
      <c r="X135" s="8" t="str">
        <f t="shared" si="23"/>
        <v/>
      </c>
    </row>
    <row r="136" spans="1:24" x14ac:dyDescent="0.25">
      <c r="A136" s="2">
        <v>4</v>
      </c>
      <c r="B136" s="4">
        <f>IF(4&lt;=N_2,(4-0.5)*dx_2,"")</f>
        <v>0.31818181818181818</v>
      </c>
      <c r="D136" s="8" t="str">
        <f t="shared" ref="D136:X136" si="24">IF(COUNT(D108)&lt;1,"",ABS(D108-(PI()*U0/L)*COS(PI()*D$131/L)*SIN(PI()*$B136/L)))</f>
        <v/>
      </c>
      <c r="E136" s="8">
        <f t="shared" si="24"/>
        <v>3.2548745166984805E-2</v>
      </c>
      <c r="F136" s="8">
        <f t="shared" si="24"/>
        <v>2.7042474793476101E-2</v>
      </c>
      <c r="G136" s="8">
        <f t="shared" si="24"/>
        <v>1.9345383939990857E-2</v>
      </c>
      <c r="H136" s="8">
        <f t="shared" si="24"/>
        <v>1.0081045131113853E-2</v>
      </c>
      <c r="I136" s="8">
        <f t="shared" si="24"/>
        <v>1.6189576740626913E-16</v>
      </c>
      <c r="J136" s="8">
        <f t="shared" si="24"/>
        <v>1.0081045131114075E-2</v>
      </c>
      <c r="K136" s="8">
        <f t="shared" si="24"/>
        <v>1.9345383939991523E-2</v>
      </c>
      <c r="L136" s="8">
        <f t="shared" si="24"/>
        <v>2.7042474793475879E-2</v>
      </c>
      <c r="M136" s="8">
        <f t="shared" si="24"/>
        <v>3.2548745166983917E-2</v>
      </c>
      <c r="N136" s="8" t="str">
        <f t="shared" si="24"/>
        <v/>
      </c>
      <c r="O136" s="8" t="str">
        <f t="shared" si="24"/>
        <v/>
      </c>
      <c r="P136" s="8" t="str">
        <f t="shared" si="24"/>
        <v/>
      </c>
      <c r="Q136" s="8" t="str">
        <f t="shared" si="24"/>
        <v/>
      </c>
      <c r="R136" s="8" t="str">
        <f t="shared" si="24"/>
        <v/>
      </c>
      <c r="S136" s="8" t="str">
        <f t="shared" si="24"/>
        <v/>
      </c>
      <c r="T136" s="8" t="str">
        <f t="shared" si="24"/>
        <v/>
      </c>
      <c r="U136" s="8" t="str">
        <f t="shared" si="24"/>
        <v/>
      </c>
      <c r="V136" s="8" t="str">
        <f t="shared" si="24"/>
        <v/>
      </c>
      <c r="W136" s="8" t="str">
        <f t="shared" si="24"/>
        <v/>
      </c>
      <c r="X136" s="8" t="str">
        <f t="shared" si="24"/>
        <v/>
      </c>
    </row>
    <row r="137" spans="1:24" x14ac:dyDescent="0.25">
      <c r="A137" s="2">
        <v>5</v>
      </c>
      <c r="B137" s="4">
        <f>IF(5&lt;=N_2,(5-0.5)*dx_2,"")</f>
        <v>0.40909090909090912</v>
      </c>
      <c r="D137" s="8" t="str">
        <f t="shared" ref="D137:X137" si="25">IF(COUNT(D109)&lt;1,"",ABS(D109-(PI()*U0/L)*COS(PI()*D$131/L)*SIN(PI()*$B137/L)))</f>
        <v/>
      </c>
      <c r="E137" s="8">
        <f t="shared" si="25"/>
        <v>3.7123519924590731E-2</v>
      </c>
      <c r="F137" s="8">
        <f t="shared" si="25"/>
        <v>3.0843335024298923E-2</v>
      </c>
      <c r="G137" s="8">
        <f t="shared" si="25"/>
        <v>2.206440655271602E-2</v>
      </c>
      <c r="H137" s="8">
        <f t="shared" si="25"/>
        <v>1.1497951084308289E-2</v>
      </c>
      <c r="I137" s="8">
        <f t="shared" si="25"/>
        <v>1.8465045937039135E-16</v>
      </c>
      <c r="J137" s="8">
        <f t="shared" si="25"/>
        <v>1.1497951084308511E-2</v>
      </c>
      <c r="K137" s="8">
        <f t="shared" si="25"/>
        <v>2.2064406552716465E-2</v>
      </c>
      <c r="L137" s="8">
        <f t="shared" si="25"/>
        <v>3.0843335024298479E-2</v>
      </c>
      <c r="M137" s="8">
        <f t="shared" si="25"/>
        <v>3.7123519924590287E-2</v>
      </c>
      <c r="N137" s="8" t="str">
        <f t="shared" si="25"/>
        <v/>
      </c>
      <c r="O137" s="8" t="str">
        <f t="shared" si="25"/>
        <v/>
      </c>
      <c r="P137" s="8" t="str">
        <f t="shared" si="25"/>
        <v/>
      </c>
      <c r="Q137" s="8" t="str">
        <f t="shared" si="25"/>
        <v/>
      </c>
      <c r="R137" s="8" t="str">
        <f t="shared" si="25"/>
        <v/>
      </c>
      <c r="S137" s="8" t="str">
        <f t="shared" si="25"/>
        <v/>
      </c>
      <c r="T137" s="8" t="str">
        <f t="shared" si="25"/>
        <v/>
      </c>
      <c r="U137" s="8" t="str">
        <f t="shared" si="25"/>
        <v/>
      </c>
      <c r="V137" s="8" t="str">
        <f t="shared" si="25"/>
        <v/>
      </c>
      <c r="W137" s="8" t="str">
        <f t="shared" si="25"/>
        <v/>
      </c>
      <c r="X137" s="8" t="str">
        <f t="shared" si="25"/>
        <v/>
      </c>
    </row>
    <row r="138" spans="1:24" x14ac:dyDescent="0.25">
      <c r="A138" s="2">
        <v>6</v>
      </c>
      <c r="B138" s="4">
        <f>IF(6&lt;=N_2,(6-0.5)*dx_2,"")</f>
        <v>0.5</v>
      </c>
      <c r="D138" s="8" t="str">
        <f t="shared" ref="D138:X138" si="26">IF(COUNT(D110)&lt;1,"",ABS(D110-(PI()*U0/L)*COS(PI()*D$131/L)*SIN(PI()*$B138/L)))</f>
        <v/>
      </c>
      <c r="E138" s="8">
        <f t="shared" si="26"/>
        <v>3.8690767879980381E-2</v>
      </c>
      <c r="F138" s="8">
        <f t="shared" si="26"/>
        <v>3.2145451683829762E-2</v>
      </c>
      <c r="G138" s="8">
        <f t="shared" si="26"/>
        <v>2.2995902168618576E-2</v>
      </c>
      <c r="H138" s="8">
        <f t="shared" si="26"/>
        <v>1.1983361421600169E-2</v>
      </c>
      <c r="I138" s="8">
        <f t="shared" si="26"/>
        <v>1.9244586927489033E-16</v>
      </c>
      <c r="J138" s="8">
        <f t="shared" si="26"/>
        <v>1.1983361421600391E-2</v>
      </c>
      <c r="K138" s="8">
        <f t="shared" si="26"/>
        <v>2.2995902168619242E-2</v>
      </c>
      <c r="L138" s="8">
        <f t="shared" si="26"/>
        <v>3.2145451683829762E-2</v>
      </c>
      <c r="M138" s="8">
        <f t="shared" si="26"/>
        <v>3.8690767879979937E-2</v>
      </c>
      <c r="N138" s="8" t="str">
        <f t="shared" si="26"/>
        <v/>
      </c>
      <c r="O138" s="8" t="str">
        <f t="shared" si="26"/>
        <v/>
      </c>
      <c r="P138" s="8" t="str">
        <f t="shared" si="26"/>
        <v/>
      </c>
      <c r="Q138" s="8" t="str">
        <f t="shared" si="26"/>
        <v/>
      </c>
      <c r="R138" s="8" t="str">
        <f t="shared" si="26"/>
        <v/>
      </c>
      <c r="S138" s="8" t="str">
        <f t="shared" si="26"/>
        <v/>
      </c>
      <c r="T138" s="8" t="str">
        <f t="shared" si="26"/>
        <v/>
      </c>
      <c r="U138" s="8" t="str">
        <f t="shared" si="26"/>
        <v/>
      </c>
      <c r="V138" s="8" t="str">
        <f t="shared" si="26"/>
        <v/>
      </c>
      <c r="W138" s="8" t="str">
        <f t="shared" si="26"/>
        <v/>
      </c>
      <c r="X138" s="8" t="str">
        <f t="shared" si="26"/>
        <v/>
      </c>
    </row>
    <row r="139" spans="1:24" x14ac:dyDescent="0.25">
      <c r="A139" s="2">
        <v>7</v>
      </c>
      <c r="B139" s="4">
        <f>IF(7&lt;=N_2,(7-0.5)*dx_2,"")</f>
        <v>0.59090909090909094</v>
      </c>
      <c r="D139" s="8" t="str">
        <f t="shared" ref="D139:X139" si="27">IF(COUNT(D111)&lt;1,"",ABS(D111-(PI()*U0/L)*COS(PI()*D$131/L)*SIN(PI()*$B139/L)))</f>
        <v/>
      </c>
      <c r="E139" s="8">
        <f t="shared" si="27"/>
        <v>3.7123519924590731E-2</v>
      </c>
      <c r="F139" s="8">
        <f t="shared" si="27"/>
        <v>3.0843335024298923E-2</v>
      </c>
      <c r="G139" s="8">
        <f t="shared" si="27"/>
        <v>2.206440655271602E-2</v>
      </c>
      <c r="H139" s="8">
        <f t="shared" si="27"/>
        <v>1.1497951084308289E-2</v>
      </c>
      <c r="I139" s="8">
        <f t="shared" si="27"/>
        <v>1.8465045937039135E-16</v>
      </c>
      <c r="J139" s="8">
        <f t="shared" si="27"/>
        <v>1.1497951084308511E-2</v>
      </c>
      <c r="K139" s="8">
        <f t="shared" si="27"/>
        <v>2.2064406552716465E-2</v>
      </c>
      <c r="L139" s="8">
        <f t="shared" si="27"/>
        <v>3.0843335024298479E-2</v>
      </c>
      <c r="M139" s="8">
        <f t="shared" si="27"/>
        <v>3.7123519924590287E-2</v>
      </c>
      <c r="N139" s="8" t="str">
        <f t="shared" si="27"/>
        <v/>
      </c>
      <c r="O139" s="8" t="str">
        <f t="shared" si="27"/>
        <v/>
      </c>
      <c r="P139" s="8" t="str">
        <f t="shared" si="27"/>
        <v/>
      </c>
      <c r="Q139" s="8" t="str">
        <f t="shared" si="27"/>
        <v/>
      </c>
      <c r="R139" s="8" t="str">
        <f t="shared" si="27"/>
        <v/>
      </c>
      <c r="S139" s="8" t="str">
        <f t="shared" si="27"/>
        <v/>
      </c>
      <c r="T139" s="8" t="str">
        <f t="shared" si="27"/>
        <v/>
      </c>
      <c r="U139" s="8" t="str">
        <f t="shared" si="27"/>
        <v/>
      </c>
      <c r="V139" s="8" t="str">
        <f t="shared" si="27"/>
        <v/>
      </c>
      <c r="W139" s="8" t="str">
        <f t="shared" si="27"/>
        <v/>
      </c>
      <c r="X139" s="8" t="str">
        <f t="shared" si="27"/>
        <v/>
      </c>
    </row>
    <row r="140" spans="1:24" x14ac:dyDescent="0.25">
      <c r="A140" s="2">
        <v>8</v>
      </c>
      <c r="B140" s="4">
        <f>IF(8&lt;=N_2,(8-0.5)*dx_2,"")</f>
        <v>0.68181818181818188</v>
      </c>
      <c r="D140" s="8" t="str">
        <f t="shared" ref="D140:X140" si="28">IF(COUNT(D112)&lt;1,"",ABS(D112-(PI()*U0/L)*COS(PI()*D$131/L)*SIN(PI()*$B140/L)))</f>
        <v/>
      </c>
      <c r="E140" s="8">
        <f t="shared" si="28"/>
        <v>3.2548745166984805E-2</v>
      </c>
      <c r="F140" s="8">
        <f t="shared" si="28"/>
        <v>2.7042474793476101E-2</v>
      </c>
      <c r="G140" s="8">
        <f t="shared" si="28"/>
        <v>1.9345383939990857E-2</v>
      </c>
      <c r="H140" s="8">
        <f t="shared" si="28"/>
        <v>1.0081045131113853E-2</v>
      </c>
      <c r="I140" s="8">
        <f t="shared" si="28"/>
        <v>1.6189576740626913E-16</v>
      </c>
      <c r="J140" s="8">
        <f t="shared" si="28"/>
        <v>1.0081045131114075E-2</v>
      </c>
      <c r="K140" s="8">
        <f t="shared" si="28"/>
        <v>1.9345383939991523E-2</v>
      </c>
      <c r="L140" s="8">
        <f t="shared" si="28"/>
        <v>2.7042474793475879E-2</v>
      </c>
      <c r="M140" s="8">
        <f t="shared" si="28"/>
        <v>3.2548745166983917E-2</v>
      </c>
      <c r="N140" s="8" t="str">
        <f t="shared" si="28"/>
        <v/>
      </c>
      <c r="O140" s="8" t="str">
        <f t="shared" si="28"/>
        <v/>
      </c>
      <c r="P140" s="8" t="str">
        <f t="shared" si="28"/>
        <v/>
      </c>
      <c r="Q140" s="8" t="str">
        <f t="shared" si="28"/>
        <v/>
      </c>
      <c r="R140" s="8" t="str">
        <f t="shared" si="28"/>
        <v/>
      </c>
      <c r="S140" s="8" t="str">
        <f t="shared" si="28"/>
        <v/>
      </c>
      <c r="T140" s="8" t="str">
        <f t="shared" si="28"/>
        <v/>
      </c>
      <c r="U140" s="8" t="str">
        <f t="shared" si="28"/>
        <v/>
      </c>
      <c r="V140" s="8" t="str">
        <f t="shared" si="28"/>
        <v/>
      </c>
      <c r="W140" s="8" t="str">
        <f t="shared" si="28"/>
        <v/>
      </c>
      <c r="X140" s="8" t="str">
        <f t="shared" si="28"/>
        <v/>
      </c>
    </row>
    <row r="141" spans="1:24" x14ac:dyDescent="0.25">
      <c r="A141" s="2">
        <v>9</v>
      </c>
      <c r="B141" s="4">
        <f>IF(9&lt;=N_2,(9-0.5)*dx_2,"")</f>
        <v>0.77272727272727271</v>
      </c>
      <c r="D141" s="8" t="str">
        <f t="shared" ref="D141:X141" si="29">IF(COUNT(D113)&lt;1,"",ABS(D113-(PI()*U0/L)*COS(PI()*D$131/L)*SIN(PI()*$B141/L)))</f>
        <v/>
      </c>
      <c r="E141" s="8">
        <f t="shared" si="29"/>
        <v>2.5337064650790442E-2</v>
      </c>
      <c r="F141" s="8">
        <f t="shared" si="29"/>
        <v>2.1050794082675406E-2</v>
      </c>
      <c r="G141" s="8">
        <f t="shared" si="29"/>
        <v>1.5059113371875599E-2</v>
      </c>
      <c r="H141" s="8">
        <f t="shared" si="29"/>
        <v>7.8474328556809025E-3</v>
      </c>
      <c r="I141" s="8">
        <f t="shared" si="29"/>
        <v>1.2602524319809308E-16</v>
      </c>
      <c r="J141" s="8">
        <f t="shared" si="29"/>
        <v>7.8474328556810136E-3</v>
      </c>
      <c r="K141" s="8">
        <f t="shared" si="29"/>
        <v>1.5059113371876265E-2</v>
      </c>
      <c r="L141" s="8">
        <f t="shared" si="29"/>
        <v>2.1050794082675184E-2</v>
      </c>
      <c r="M141" s="8">
        <f t="shared" si="29"/>
        <v>2.533706465079022E-2</v>
      </c>
      <c r="N141" s="8" t="str">
        <f t="shared" si="29"/>
        <v/>
      </c>
      <c r="O141" s="8" t="str">
        <f t="shared" si="29"/>
        <v/>
      </c>
      <c r="P141" s="8" t="str">
        <f t="shared" si="29"/>
        <v/>
      </c>
      <c r="Q141" s="8" t="str">
        <f t="shared" si="29"/>
        <v/>
      </c>
      <c r="R141" s="8" t="str">
        <f t="shared" si="29"/>
        <v/>
      </c>
      <c r="S141" s="8" t="str">
        <f t="shared" si="29"/>
        <v/>
      </c>
      <c r="T141" s="8" t="str">
        <f t="shared" si="29"/>
        <v/>
      </c>
      <c r="U141" s="8" t="str">
        <f t="shared" si="29"/>
        <v/>
      </c>
      <c r="V141" s="8" t="str">
        <f t="shared" si="29"/>
        <v/>
      </c>
      <c r="W141" s="8" t="str">
        <f t="shared" si="29"/>
        <v/>
      </c>
      <c r="X141" s="8" t="str">
        <f t="shared" si="29"/>
        <v/>
      </c>
    </row>
    <row r="142" spans="1:24" x14ac:dyDescent="0.25">
      <c r="A142" s="2">
        <v>10</v>
      </c>
      <c r="B142" s="4">
        <f>IF(10&lt;=N_2,(10-0.5)*dx_2,"")</f>
        <v>0.86363636363636365</v>
      </c>
      <c r="D142" s="8" t="str">
        <f t="shared" ref="D142:X142" si="30">IF(COUNT(D114)&lt;1,"",ABS(D114-(PI()*U0/L)*COS(PI()*D$131/L)*SIN(PI()*$B142/L)))</f>
        <v/>
      </c>
      <c r="E142" s="8">
        <f t="shared" si="30"/>
        <v>1.6072725841915103E-2</v>
      </c>
      <c r="F142" s="8">
        <f t="shared" si="30"/>
        <v>1.3353703229189495E-2</v>
      </c>
      <c r="G142" s="8">
        <f t="shared" si="30"/>
        <v>9.552842998366784E-3</v>
      </c>
      <c r="H142" s="8">
        <f t="shared" si="30"/>
        <v>4.9780682407604138E-3</v>
      </c>
      <c r="I142" s="8">
        <f t="shared" si="30"/>
        <v>7.9944903286987881E-17</v>
      </c>
      <c r="J142" s="8">
        <f t="shared" si="30"/>
        <v>4.9780682407604693E-3</v>
      </c>
      <c r="K142" s="8">
        <f t="shared" si="30"/>
        <v>9.552842998367117E-3</v>
      </c>
      <c r="L142" s="8">
        <f t="shared" si="30"/>
        <v>1.3353703229189495E-2</v>
      </c>
      <c r="M142" s="8">
        <f t="shared" si="30"/>
        <v>1.6072725841914881E-2</v>
      </c>
      <c r="N142" s="8" t="str">
        <f t="shared" si="30"/>
        <v/>
      </c>
      <c r="O142" s="8" t="str">
        <f t="shared" si="30"/>
        <v/>
      </c>
      <c r="P142" s="8" t="str">
        <f t="shared" si="30"/>
        <v/>
      </c>
      <c r="Q142" s="8" t="str">
        <f t="shared" si="30"/>
        <v/>
      </c>
      <c r="R142" s="8" t="str">
        <f t="shared" si="30"/>
        <v/>
      </c>
      <c r="S142" s="8" t="str">
        <f t="shared" si="30"/>
        <v/>
      </c>
      <c r="T142" s="8" t="str">
        <f t="shared" si="30"/>
        <v/>
      </c>
      <c r="U142" s="8" t="str">
        <f t="shared" si="30"/>
        <v/>
      </c>
      <c r="V142" s="8" t="str">
        <f t="shared" si="30"/>
        <v/>
      </c>
      <c r="W142" s="8" t="str">
        <f t="shared" si="30"/>
        <v/>
      </c>
      <c r="X142" s="8" t="str">
        <f t="shared" si="30"/>
        <v/>
      </c>
    </row>
    <row r="143" spans="1:24" x14ac:dyDescent="0.25">
      <c r="A143" s="2">
        <v>11</v>
      </c>
      <c r="B143" s="4">
        <f>IF(11&lt;=N_2,(11-0.5)*dx_2,"")</f>
        <v>0.95454545454545459</v>
      </c>
      <c r="D143" s="8" t="str">
        <f t="shared" ref="D143:X143" si="31">IF(COUNT(D115)&lt;1,"",ABS(D115-(PI()*U0/L)*COS(PI()*D$131/L)*SIN(PI()*$B143/L)))</f>
        <v/>
      </c>
      <c r="E143" s="8" t="str">
        <f t="shared" si="31"/>
        <v/>
      </c>
      <c r="F143" s="8" t="str">
        <f t="shared" si="31"/>
        <v/>
      </c>
      <c r="G143" s="8" t="str">
        <f t="shared" si="31"/>
        <v/>
      </c>
      <c r="H143" s="8" t="str">
        <f t="shared" si="31"/>
        <v/>
      </c>
      <c r="I143" s="8" t="str">
        <f t="shared" si="31"/>
        <v/>
      </c>
      <c r="J143" s="8" t="str">
        <f t="shared" si="31"/>
        <v/>
      </c>
      <c r="K143" s="8" t="str">
        <f t="shared" si="31"/>
        <v/>
      </c>
      <c r="L143" s="8" t="str">
        <f t="shared" si="31"/>
        <v/>
      </c>
      <c r="M143" s="8" t="str">
        <f t="shared" si="31"/>
        <v/>
      </c>
      <c r="N143" s="8" t="str">
        <f t="shared" si="31"/>
        <v/>
      </c>
      <c r="O143" s="8" t="str">
        <f t="shared" si="31"/>
        <v/>
      </c>
      <c r="P143" s="8" t="str">
        <f t="shared" si="31"/>
        <v/>
      </c>
      <c r="Q143" s="8" t="str">
        <f t="shared" si="31"/>
        <v/>
      </c>
      <c r="R143" s="8" t="str">
        <f t="shared" si="31"/>
        <v/>
      </c>
      <c r="S143" s="8" t="str">
        <f t="shared" si="31"/>
        <v/>
      </c>
      <c r="T143" s="8" t="str">
        <f t="shared" si="31"/>
        <v/>
      </c>
      <c r="U143" s="8" t="str">
        <f t="shared" si="31"/>
        <v/>
      </c>
      <c r="V143" s="8" t="str">
        <f t="shared" si="31"/>
        <v/>
      </c>
      <c r="W143" s="8" t="str">
        <f t="shared" si="31"/>
        <v/>
      </c>
      <c r="X143" s="8" t="str">
        <f t="shared" si="31"/>
        <v/>
      </c>
    </row>
    <row r="144" spans="1:24" x14ac:dyDescent="0.25">
      <c r="A144" s="2">
        <v>12</v>
      </c>
      <c r="B144" s="4" t="str">
        <f>IF(12&lt;=N_2,(12-0.5)*dx_2,"")</f>
        <v/>
      </c>
      <c r="D144" s="8" t="str">
        <f t="shared" ref="D144:X144" si="32">IF(COUNT(D116)&lt;1,"",ABS(D116-(PI()*U0/L)*COS(PI()*D$131/L)*SIN(PI()*$B144/L)))</f>
        <v/>
      </c>
      <c r="E144" s="8" t="str">
        <f t="shared" si="32"/>
        <v/>
      </c>
      <c r="F144" s="8" t="str">
        <f t="shared" si="32"/>
        <v/>
      </c>
      <c r="G144" s="8" t="str">
        <f t="shared" si="32"/>
        <v/>
      </c>
      <c r="H144" s="8" t="str">
        <f t="shared" si="32"/>
        <v/>
      </c>
      <c r="I144" s="8" t="str">
        <f t="shared" si="32"/>
        <v/>
      </c>
      <c r="J144" s="8" t="str">
        <f t="shared" si="32"/>
        <v/>
      </c>
      <c r="K144" s="8" t="str">
        <f t="shared" si="32"/>
        <v/>
      </c>
      <c r="L144" s="8" t="str">
        <f t="shared" si="32"/>
        <v/>
      </c>
      <c r="M144" s="8" t="str">
        <f t="shared" si="32"/>
        <v/>
      </c>
      <c r="N144" s="8" t="str">
        <f t="shared" si="32"/>
        <v/>
      </c>
      <c r="O144" s="8" t="str">
        <f t="shared" si="32"/>
        <v/>
      </c>
      <c r="P144" s="8" t="str">
        <f t="shared" si="32"/>
        <v/>
      </c>
      <c r="Q144" s="8" t="str">
        <f t="shared" si="32"/>
        <v/>
      </c>
      <c r="R144" s="8" t="str">
        <f t="shared" si="32"/>
        <v/>
      </c>
      <c r="S144" s="8" t="str">
        <f t="shared" si="32"/>
        <v/>
      </c>
      <c r="T144" s="8" t="str">
        <f t="shared" si="32"/>
        <v/>
      </c>
      <c r="U144" s="8" t="str">
        <f t="shared" si="32"/>
        <v/>
      </c>
      <c r="V144" s="8" t="str">
        <f t="shared" si="32"/>
        <v/>
      </c>
      <c r="W144" s="8" t="str">
        <f t="shared" si="32"/>
        <v/>
      </c>
      <c r="X144" s="8" t="str">
        <f t="shared" si="32"/>
        <v/>
      </c>
    </row>
    <row r="145" spans="1:24" x14ac:dyDescent="0.25">
      <c r="A145" s="2">
        <v>13</v>
      </c>
      <c r="B145" s="4" t="str">
        <f>IF(13&lt;=N_2,(13-0.5)*dx_2,"")</f>
        <v/>
      </c>
      <c r="D145" s="8" t="str">
        <f t="shared" ref="D145:X145" si="33">IF(COUNT(D117)&lt;1,"",ABS(D117-(PI()*U0/L)*COS(PI()*D$131/L)*SIN(PI()*$B145/L)))</f>
        <v/>
      </c>
      <c r="E145" s="8" t="str">
        <f t="shared" si="33"/>
        <v/>
      </c>
      <c r="F145" s="8" t="str">
        <f t="shared" si="33"/>
        <v/>
      </c>
      <c r="G145" s="8" t="str">
        <f t="shared" si="33"/>
        <v/>
      </c>
      <c r="H145" s="8" t="str">
        <f t="shared" si="33"/>
        <v/>
      </c>
      <c r="I145" s="8" t="str">
        <f t="shared" si="33"/>
        <v/>
      </c>
      <c r="J145" s="8" t="str">
        <f t="shared" si="33"/>
        <v/>
      </c>
      <c r="K145" s="8" t="str">
        <f t="shared" si="33"/>
        <v/>
      </c>
      <c r="L145" s="8" t="str">
        <f t="shared" si="33"/>
        <v/>
      </c>
      <c r="M145" s="8" t="str">
        <f t="shared" si="33"/>
        <v/>
      </c>
      <c r="N145" s="8" t="str">
        <f t="shared" si="33"/>
        <v/>
      </c>
      <c r="O145" s="8" t="str">
        <f t="shared" si="33"/>
        <v/>
      </c>
      <c r="P145" s="8" t="str">
        <f t="shared" si="33"/>
        <v/>
      </c>
      <c r="Q145" s="8" t="str">
        <f t="shared" si="33"/>
        <v/>
      </c>
      <c r="R145" s="8" t="str">
        <f t="shared" si="33"/>
        <v/>
      </c>
      <c r="S145" s="8" t="str">
        <f t="shared" si="33"/>
        <v/>
      </c>
      <c r="T145" s="8" t="str">
        <f t="shared" si="33"/>
        <v/>
      </c>
      <c r="U145" s="8" t="str">
        <f t="shared" si="33"/>
        <v/>
      </c>
      <c r="V145" s="8" t="str">
        <f t="shared" si="33"/>
        <v/>
      </c>
      <c r="W145" s="8" t="str">
        <f t="shared" si="33"/>
        <v/>
      </c>
      <c r="X145" s="8" t="str">
        <f t="shared" si="33"/>
        <v/>
      </c>
    </row>
    <row r="146" spans="1:24" x14ac:dyDescent="0.25">
      <c r="A146" s="2">
        <v>14</v>
      </c>
      <c r="B146" s="4" t="str">
        <f>IF(14&lt;=N_2,(14-0.5)*dx_2,"")</f>
        <v/>
      </c>
      <c r="D146" s="8" t="str">
        <f t="shared" ref="D146:X146" si="34">IF(COUNT(D118)&lt;1,"",ABS(D118-(PI()*U0/L)*COS(PI()*D$131/L)*SIN(PI()*$B146/L)))</f>
        <v/>
      </c>
      <c r="E146" s="8" t="str">
        <f t="shared" si="34"/>
        <v/>
      </c>
      <c r="F146" s="8" t="str">
        <f t="shared" si="34"/>
        <v/>
      </c>
      <c r="G146" s="8" t="str">
        <f t="shared" si="34"/>
        <v/>
      </c>
      <c r="H146" s="8" t="str">
        <f t="shared" si="34"/>
        <v/>
      </c>
      <c r="I146" s="8" t="str">
        <f t="shared" si="34"/>
        <v/>
      </c>
      <c r="J146" s="8" t="str">
        <f t="shared" si="34"/>
        <v/>
      </c>
      <c r="K146" s="8" t="str">
        <f t="shared" si="34"/>
        <v/>
      </c>
      <c r="L146" s="8" t="str">
        <f t="shared" si="34"/>
        <v/>
      </c>
      <c r="M146" s="8" t="str">
        <f t="shared" si="34"/>
        <v/>
      </c>
      <c r="N146" s="8" t="str">
        <f t="shared" si="34"/>
        <v/>
      </c>
      <c r="O146" s="8" t="str">
        <f t="shared" si="34"/>
        <v/>
      </c>
      <c r="P146" s="8" t="str">
        <f t="shared" si="34"/>
        <v/>
      </c>
      <c r="Q146" s="8" t="str">
        <f t="shared" si="34"/>
        <v/>
      </c>
      <c r="R146" s="8" t="str">
        <f t="shared" si="34"/>
        <v/>
      </c>
      <c r="S146" s="8" t="str">
        <f t="shared" si="34"/>
        <v/>
      </c>
      <c r="T146" s="8" t="str">
        <f t="shared" si="34"/>
        <v/>
      </c>
      <c r="U146" s="8" t="str">
        <f t="shared" si="34"/>
        <v/>
      </c>
      <c r="V146" s="8" t="str">
        <f t="shared" si="34"/>
        <v/>
      </c>
      <c r="W146" s="8" t="str">
        <f t="shared" si="34"/>
        <v/>
      </c>
      <c r="X146" s="8" t="str">
        <f t="shared" si="34"/>
        <v/>
      </c>
    </row>
    <row r="147" spans="1:24" x14ac:dyDescent="0.25">
      <c r="A147" s="2">
        <v>15</v>
      </c>
      <c r="B147" s="4" t="str">
        <f>IF(15&lt;=N_2,(15-0.5)*dx_2,"")</f>
        <v/>
      </c>
      <c r="D147" s="8" t="str">
        <f t="shared" ref="D147:X147" si="35">IF(COUNT(D119)&lt;1,"",ABS(D119-(PI()*U0/L)*COS(PI()*D$131/L)*SIN(PI()*$B147/L)))</f>
        <v/>
      </c>
      <c r="E147" s="8" t="str">
        <f t="shared" si="35"/>
        <v/>
      </c>
      <c r="F147" s="8" t="str">
        <f t="shared" si="35"/>
        <v/>
      </c>
      <c r="G147" s="8" t="str">
        <f t="shared" si="35"/>
        <v/>
      </c>
      <c r="H147" s="8" t="str">
        <f t="shared" si="35"/>
        <v/>
      </c>
      <c r="I147" s="8" t="str">
        <f t="shared" si="35"/>
        <v/>
      </c>
      <c r="J147" s="8" t="str">
        <f t="shared" si="35"/>
        <v/>
      </c>
      <c r="K147" s="8" t="str">
        <f t="shared" si="35"/>
        <v/>
      </c>
      <c r="L147" s="8" t="str">
        <f t="shared" si="35"/>
        <v/>
      </c>
      <c r="M147" s="8" t="str">
        <f t="shared" si="35"/>
        <v/>
      </c>
      <c r="N147" s="8" t="str">
        <f t="shared" si="35"/>
        <v/>
      </c>
      <c r="O147" s="8" t="str">
        <f t="shared" si="35"/>
        <v/>
      </c>
      <c r="P147" s="8" t="str">
        <f t="shared" si="35"/>
        <v/>
      </c>
      <c r="Q147" s="8" t="str">
        <f t="shared" si="35"/>
        <v/>
      </c>
      <c r="R147" s="8" t="str">
        <f t="shared" si="35"/>
        <v/>
      </c>
      <c r="S147" s="8" t="str">
        <f t="shared" si="35"/>
        <v/>
      </c>
      <c r="T147" s="8" t="str">
        <f t="shared" si="35"/>
        <v/>
      </c>
      <c r="U147" s="8" t="str">
        <f t="shared" si="35"/>
        <v/>
      </c>
      <c r="V147" s="8" t="str">
        <f t="shared" si="35"/>
        <v/>
      </c>
      <c r="W147" s="8" t="str">
        <f t="shared" si="35"/>
        <v/>
      </c>
      <c r="X147" s="8" t="str">
        <f t="shared" si="35"/>
        <v/>
      </c>
    </row>
    <row r="148" spans="1:24" x14ac:dyDescent="0.25">
      <c r="A148" s="2">
        <v>16</v>
      </c>
      <c r="B148" s="4" t="str">
        <f>IF(16&lt;=N_2,(16-0.5)*dx_2,"")</f>
        <v/>
      </c>
      <c r="D148" s="8" t="str">
        <f t="shared" ref="D148:X148" si="36">IF(COUNT(D120)&lt;1,"",ABS(D120-(PI()*U0/L)*COS(PI()*D$131/L)*SIN(PI()*$B148/L)))</f>
        <v/>
      </c>
      <c r="E148" s="8" t="str">
        <f t="shared" si="36"/>
        <v/>
      </c>
      <c r="F148" s="8" t="str">
        <f t="shared" si="36"/>
        <v/>
      </c>
      <c r="G148" s="8" t="str">
        <f t="shared" si="36"/>
        <v/>
      </c>
      <c r="H148" s="8" t="str">
        <f t="shared" si="36"/>
        <v/>
      </c>
      <c r="I148" s="8" t="str">
        <f t="shared" si="36"/>
        <v/>
      </c>
      <c r="J148" s="8" t="str">
        <f t="shared" si="36"/>
        <v/>
      </c>
      <c r="K148" s="8" t="str">
        <f t="shared" si="36"/>
        <v/>
      </c>
      <c r="L148" s="8" t="str">
        <f t="shared" si="36"/>
        <v/>
      </c>
      <c r="M148" s="8" t="str">
        <f t="shared" si="36"/>
        <v/>
      </c>
      <c r="N148" s="8" t="str">
        <f t="shared" si="36"/>
        <v/>
      </c>
      <c r="O148" s="8" t="str">
        <f t="shared" si="36"/>
        <v/>
      </c>
      <c r="P148" s="8" t="str">
        <f t="shared" si="36"/>
        <v/>
      </c>
      <c r="Q148" s="8" t="str">
        <f t="shared" si="36"/>
        <v/>
      </c>
      <c r="R148" s="8" t="str">
        <f t="shared" si="36"/>
        <v/>
      </c>
      <c r="S148" s="8" t="str">
        <f t="shared" si="36"/>
        <v/>
      </c>
      <c r="T148" s="8" t="str">
        <f t="shared" si="36"/>
        <v/>
      </c>
      <c r="U148" s="8" t="str">
        <f t="shared" si="36"/>
        <v/>
      </c>
      <c r="V148" s="8" t="str">
        <f t="shared" si="36"/>
        <v/>
      </c>
      <c r="W148" s="8" t="str">
        <f t="shared" si="36"/>
        <v/>
      </c>
      <c r="X148" s="8" t="str">
        <f t="shared" si="36"/>
        <v/>
      </c>
    </row>
    <row r="149" spans="1:24" x14ac:dyDescent="0.25">
      <c r="A149" s="2">
        <v>17</v>
      </c>
      <c r="B149" s="4" t="str">
        <f>IF(17&lt;=N_2,(17-0.5)*dx_2,"")</f>
        <v/>
      </c>
      <c r="D149" s="8" t="str">
        <f t="shared" ref="D149:X149" si="37">IF(COUNT(D121)&lt;1,"",ABS(D121-(PI()*U0/L)*COS(PI()*D$131/L)*SIN(PI()*$B149/L)))</f>
        <v/>
      </c>
      <c r="E149" s="8" t="str">
        <f t="shared" si="37"/>
        <v/>
      </c>
      <c r="F149" s="8" t="str">
        <f t="shared" si="37"/>
        <v/>
      </c>
      <c r="G149" s="8" t="str">
        <f t="shared" si="37"/>
        <v/>
      </c>
      <c r="H149" s="8" t="str">
        <f t="shared" si="37"/>
        <v/>
      </c>
      <c r="I149" s="8" t="str">
        <f t="shared" si="37"/>
        <v/>
      </c>
      <c r="J149" s="8" t="str">
        <f t="shared" si="37"/>
        <v/>
      </c>
      <c r="K149" s="8" t="str">
        <f t="shared" si="37"/>
        <v/>
      </c>
      <c r="L149" s="8" t="str">
        <f t="shared" si="37"/>
        <v/>
      </c>
      <c r="M149" s="8" t="str">
        <f t="shared" si="37"/>
        <v/>
      </c>
      <c r="N149" s="8" t="str">
        <f t="shared" si="37"/>
        <v/>
      </c>
      <c r="O149" s="8" t="str">
        <f t="shared" si="37"/>
        <v/>
      </c>
      <c r="P149" s="8" t="str">
        <f t="shared" si="37"/>
        <v/>
      </c>
      <c r="Q149" s="8" t="str">
        <f t="shared" si="37"/>
        <v/>
      </c>
      <c r="R149" s="8" t="str">
        <f t="shared" si="37"/>
        <v/>
      </c>
      <c r="S149" s="8" t="str">
        <f t="shared" si="37"/>
        <v/>
      </c>
      <c r="T149" s="8" t="str">
        <f t="shared" si="37"/>
        <v/>
      </c>
      <c r="U149" s="8" t="str">
        <f t="shared" si="37"/>
        <v/>
      </c>
      <c r="V149" s="8" t="str">
        <f t="shared" si="37"/>
        <v/>
      </c>
      <c r="W149" s="8" t="str">
        <f t="shared" si="37"/>
        <v/>
      </c>
      <c r="X149" s="8" t="str">
        <f t="shared" si="37"/>
        <v/>
      </c>
    </row>
    <row r="150" spans="1:24" x14ac:dyDescent="0.25">
      <c r="A150" s="2">
        <v>18</v>
      </c>
      <c r="B150" s="4" t="str">
        <f>IF(18&lt;=N_2,(18-0.5)*dx_2,"")</f>
        <v/>
      </c>
      <c r="D150" s="8" t="str">
        <f t="shared" ref="D150:X150" si="38">IF(COUNT(D122)&lt;1,"",ABS(D122-(PI()*U0/L)*COS(PI()*D$131/L)*SIN(PI()*$B150/L)))</f>
        <v/>
      </c>
      <c r="E150" s="8" t="str">
        <f t="shared" si="38"/>
        <v/>
      </c>
      <c r="F150" s="8" t="str">
        <f t="shared" si="38"/>
        <v/>
      </c>
      <c r="G150" s="8" t="str">
        <f t="shared" si="38"/>
        <v/>
      </c>
      <c r="H150" s="8" t="str">
        <f t="shared" si="38"/>
        <v/>
      </c>
      <c r="I150" s="8" t="str">
        <f t="shared" si="38"/>
        <v/>
      </c>
      <c r="J150" s="8" t="str">
        <f t="shared" si="38"/>
        <v/>
      </c>
      <c r="K150" s="8" t="str">
        <f t="shared" si="38"/>
        <v/>
      </c>
      <c r="L150" s="8" t="str">
        <f t="shared" si="38"/>
        <v/>
      </c>
      <c r="M150" s="8" t="str">
        <f t="shared" si="38"/>
        <v/>
      </c>
      <c r="N150" s="8" t="str">
        <f t="shared" si="38"/>
        <v/>
      </c>
      <c r="O150" s="8" t="str">
        <f t="shared" si="38"/>
        <v/>
      </c>
      <c r="P150" s="8" t="str">
        <f t="shared" si="38"/>
        <v/>
      </c>
      <c r="Q150" s="8" t="str">
        <f t="shared" si="38"/>
        <v/>
      </c>
      <c r="R150" s="8" t="str">
        <f t="shared" si="38"/>
        <v/>
      </c>
      <c r="S150" s="8" t="str">
        <f t="shared" si="38"/>
        <v/>
      </c>
      <c r="T150" s="8" t="str">
        <f t="shared" si="38"/>
        <v/>
      </c>
      <c r="U150" s="8" t="str">
        <f t="shared" si="38"/>
        <v/>
      </c>
      <c r="V150" s="8" t="str">
        <f t="shared" si="38"/>
        <v/>
      </c>
      <c r="W150" s="8" t="str">
        <f t="shared" si="38"/>
        <v/>
      </c>
      <c r="X150" s="8" t="str">
        <f t="shared" si="38"/>
        <v/>
      </c>
    </row>
    <row r="151" spans="1:24" x14ac:dyDescent="0.25">
      <c r="A151" s="2">
        <v>19</v>
      </c>
      <c r="B151" s="4" t="str">
        <f>IF(19&lt;=N_2,(19-0.5)*dx_2,"")</f>
        <v/>
      </c>
      <c r="D151" s="8" t="str">
        <f t="shared" ref="D151:X151" si="39">IF(COUNT(D123)&lt;1,"",ABS(D123-(PI()*U0/L)*COS(PI()*D$131/L)*SIN(PI()*$B151/L)))</f>
        <v/>
      </c>
      <c r="E151" s="8" t="str">
        <f t="shared" si="39"/>
        <v/>
      </c>
      <c r="F151" s="8" t="str">
        <f t="shared" si="39"/>
        <v/>
      </c>
      <c r="G151" s="8" t="str">
        <f t="shared" si="39"/>
        <v/>
      </c>
      <c r="H151" s="8" t="str">
        <f t="shared" si="39"/>
        <v/>
      </c>
      <c r="I151" s="8" t="str">
        <f t="shared" si="39"/>
        <v/>
      </c>
      <c r="J151" s="8" t="str">
        <f t="shared" si="39"/>
        <v/>
      </c>
      <c r="K151" s="8" t="str">
        <f t="shared" si="39"/>
        <v/>
      </c>
      <c r="L151" s="8" t="str">
        <f t="shared" si="39"/>
        <v/>
      </c>
      <c r="M151" s="8" t="str">
        <f t="shared" si="39"/>
        <v/>
      </c>
      <c r="N151" s="8" t="str">
        <f t="shared" si="39"/>
        <v/>
      </c>
      <c r="O151" s="8" t="str">
        <f t="shared" si="39"/>
        <v/>
      </c>
      <c r="P151" s="8" t="str">
        <f t="shared" si="39"/>
        <v/>
      </c>
      <c r="Q151" s="8" t="str">
        <f t="shared" si="39"/>
        <v/>
      </c>
      <c r="R151" s="8" t="str">
        <f t="shared" si="39"/>
        <v/>
      </c>
      <c r="S151" s="8" t="str">
        <f t="shared" si="39"/>
        <v/>
      </c>
      <c r="T151" s="8" t="str">
        <f t="shared" si="39"/>
        <v/>
      </c>
      <c r="U151" s="8" t="str">
        <f t="shared" si="39"/>
        <v/>
      </c>
      <c r="V151" s="8" t="str">
        <f t="shared" si="39"/>
        <v/>
      </c>
      <c r="W151" s="8" t="str">
        <f t="shared" si="39"/>
        <v/>
      </c>
      <c r="X151" s="8" t="str">
        <f t="shared" si="39"/>
        <v/>
      </c>
    </row>
    <row r="152" spans="1:24" x14ac:dyDescent="0.25">
      <c r="A152" s="2">
        <v>20</v>
      </c>
      <c r="B152" s="4" t="str">
        <f>IF(20&lt;=N_2,(20-0.5)*dx_2,"")</f>
        <v/>
      </c>
      <c r="D152" s="8" t="str">
        <f t="shared" ref="D152:X152" si="40">IF(COUNT(D124)&lt;1,"",ABS(D124-(PI()*U0/L)*COS(PI()*D$131/L)*SIN(PI()*$B152/L)))</f>
        <v/>
      </c>
      <c r="E152" s="8" t="str">
        <f t="shared" si="40"/>
        <v/>
      </c>
      <c r="F152" s="8" t="str">
        <f t="shared" si="40"/>
        <v/>
      </c>
      <c r="G152" s="8" t="str">
        <f t="shared" si="40"/>
        <v/>
      </c>
      <c r="H152" s="8" t="str">
        <f t="shared" si="40"/>
        <v/>
      </c>
      <c r="I152" s="8" t="str">
        <f t="shared" si="40"/>
        <v/>
      </c>
      <c r="J152" s="8" t="str">
        <f t="shared" si="40"/>
        <v/>
      </c>
      <c r="K152" s="8" t="str">
        <f t="shared" si="40"/>
        <v/>
      </c>
      <c r="L152" s="8" t="str">
        <f t="shared" si="40"/>
        <v/>
      </c>
      <c r="M152" s="8" t="str">
        <f t="shared" si="40"/>
        <v/>
      </c>
      <c r="N152" s="8" t="str">
        <f t="shared" si="40"/>
        <v/>
      </c>
      <c r="O152" s="8" t="str">
        <f t="shared" si="40"/>
        <v/>
      </c>
      <c r="P152" s="8" t="str">
        <f t="shared" si="40"/>
        <v/>
      </c>
      <c r="Q152" s="8" t="str">
        <f t="shared" si="40"/>
        <v/>
      </c>
      <c r="R152" s="8" t="str">
        <f t="shared" si="40"/>
        <v/>
      </c>
      <c r="S152" s="8" t="str">
        <f t="shared" si="40"/>
        <v/>
      </c>
      <c r="T152" s="8" t="str">
        <f t="shared" si="40"/>
        <v/>
      </c>
      <c r="U152" s="8" t="str">
        <f t="shared" si="40"/>
        <v/>
      </c>
      <c r="V152" s="8" t="str">
        <f t="shared" si="40"/>
        <v/>
      </c>
      <c r="W152" s="8" t="str">
        <f t="shared" si="40"/>
        <v/>
      </c>
      <c r="X152" s="8" t="str">
        <f t="shared" si="40"/>
        <v/>
      </c>
    </row>
    <row r="153" spans="1:24" x14ac:dyDescent="0.25">
      <c r="A153" s="2">
        <v>21</v>
      </c>
      <c r="B153" s="4" t="str">
        <f>IF(21&lt;=N_2,(21-0.5)*dx_2,"")</f>
        <v/>
      </c>
      <c r="D153" s="8" t="str">
        <f t="shared" ref="D153:X153" si="41">IF(COUNT(D125)&lt;1,"",ABS(D125-(PI()*U0/L)*COS(PI()*D$131/L)*SIN(PI()*$B153/L)))</f>
        <v/>
      </c>
      <c r="E153" s="8" t="str">
        <f t="shared" si="41"/>
        <v/>
      </c>
      <c r="F153" s="8" t="str">
        <f t="shared" si="41"/>
        <v/>
      </c>
      <c r="G153" s="8" t="str">
        <f t="shared" si="41"/>
        <v/>
      </c>
      <c r="H153" s="8" t="str">
        <f t="shared" si="41"/>
        <v/>
      </c>
      <c r="I153" s="8" t="str">
        <f t="shared" si="41"/>
        <v/>
      </c>
      <c r="J153" s="8" t="str">
        <f t="shared" si="41"/>
        <v/>
      </c>
      <c r="K153" s="8" t="str">
        <f t="shared" si="41"/>
        <v/>
      </c>
      <c r="L153" s="8" t="str">
        <f t="shared" si="41"/>
        <v/>
      </c>
      <c r="M153" s="8" t="str">
        <f t="shared" si="41"/>
        <v/>
      </c>
      <c r="N153" s="8" t="str">
        <f t="shared" si="41"/>
        <v/>
      </c>
      <c r="O153" s="8" t="str">
        <f t="shared" si="41"/>
        <v/>
      </c>
      <c r="P153" s="8" t="str">
        <f t="shared" si="41"/>
        <v/>
      </c>
      <c r="Q153" s="8" t="str">
        <f t="shared" si="41"/>
        <v/>
      </c>
      <c r="R153" s="8" t="str">
        <f t="shared" si="41"/>
        <v/>
      </c>
      <c r="S153" s="8" t="str">
        <f t="shared" si="41"/>
        <v/>
      </c>
      <c r="T153" s="8" t="str">
        <f t="shared" si="41"/>
        <v/>
      </c>
      <c r="U153" s="8" t="str">
        <f t="shared" si="41"/>
        <v/>
      </c>
      <c r="V153" s="8" t="str">
        <f t="shared" si="41"/>
        <v/>
      </c>
      <c r="W153" s="8" t="str">
        <f t="shared" si="41"/>
        <v/>
      </c>
      <c r="X153" s="8" t="str">
        <f t="shared" si="41"/>
        <v/>
      </c>
    </row>
    <row r="157" spans="1:24" ht="15.75" x14ac:dyDescent="0.25">
      <c r="A157" s="5" t="s">
        <v>89</v>
      </c>
    </row>
    <row r="158" spans="1:24" x14ac:dyDescent="0.25">
      <c r="A158" s="2" t="s">
        <v>48</v>
      </c>
      <c r="D158" s="2">
        <v>1</v>
      </c>
      <c r="E158" s="2">
        <v>2</v>
      </c>
      <c r="F158" s="2">
        <v>3</v>
      </c>
      <c r="G158" s="2">
        <v>4</v>
      </c>
      <c r="H158" s="2">
        <v>5</v>
      </c>
      <c r="I158" s="2">
        <v>6</v>
      </c>
      <c r="J158" s="2">
        <v>7</v>
      </c>
      <c r="K158" s="2">
        <v>8</v>
      </c>
      <c r="L158" s="2">
        <v>9</v>
      </c>
      <c r="M158" s="2">
        <v>10</v>
      </c>
      <c r="N158" s="2">
        <v>11</v>
      </c>
      <c r="O158" s="2">
        <v>12</v>
      </c>
      <c r="P158" s="2">
        <v>13</v>
      </c>
      <c r="Q158" s="2">
        <v>14</v>
      </c>
      <c r="R158" s="2">
        <v>15</v>
      </c>
      <c r="S158" s="2">
        <v>16</v>
      </c>
      <c r="T158" s="2">
        <v>17</v>
      </c>
      <c r="U158" s="2">
        <v>18</v>
      </c>
      <c r="V158" s="2">
        <v>19</v>
      </c>
      <c r="W158" s="2">
        <v>20</v>
      </c>
      <c r="X158" s="2">
        <v>21</v>
      </c>
    </row>
    <row r="159" spans="1:24" x14ac:dyDescent="0.25">
      <c r="A159" s="2" t="s">
        <v>49</v>
      </c>
      <c r="D159" s="4">
        <f>IF(1&lt;=N_3,(1-0.5)*dx_3,"")</f>
        <v>8.3333333333333329E-2</v>
      </c>
      <c r="E159" s="4">
        <f>IF(2&lt;=N_3,(2-0.5)*dx_3,"")</f>
        <v>0.25</v>
      </c>
      <c r="F159" s="4">
        <f>IF(3&lt;=N_3,(3-0.5)*dx_3,"")</f>
        <v>0.41666666666666663</v>
      </c>
      <c r="G159" s="4">
        <f>IF(4&lt;=N_3,(4-0.5)*dx_3,"")</f>
        <v>0.58333333333333326</v>
      </c>
      <c r="H159" s="4">
        <f>IF(5&lt;=N_3,(5-0.5)*dx_3,"")</f>
        <v>0.75</v>
      </c>
      <c r="I159" s="4">
        <f>IF(6&lt;=N_3,(6-0.5)*dx_3,"")</f>
        <v>0.91666666666666663</v>
      </c>
      <c r="J159" s="4" t="str">
        <f>IF(7&lt;=N_3,(7-0.5)*dx_3,"")</f>
        <v/>
      </c>
      <c r="K159" s="4" t="str">
        <f>IF(8&lt;=N_3,(8-0.5)*dx_3,"")</f>
        <v/>
      </c>
      <c r="L159" s="4" t="str">
        <f>IF(9&lt;=N_3,(9-0.5)*dx_3,"")</f>
        <v/>
      </c>
      <c r="M159" s="4" t="str">
        <f>IF(10&lt;=N_3,(10-0.5)*dx_3,"")</f>
        <v/>
      </c>
      <c r="N159" s="4" t="str">
        <f>IF(11&lt;=N_3,(11-0.5)*dx_3,"")</f>
        <v/>
      </c>
      <c r="O159" s="4" t="str">
        <f>IF(12&lt;=N_3,(12-0.5)*dx_3,"")</f>
        <v/>
      </c>
      <c r="P159" s="4" t="str">
        <f>IF(13&lt;=N_3,(13-0.5)*dx_3,"")</f>
        <v/>
      </c>
      <c r="Q159" s="4" t="str">
        <f>IF(14&lt;=N_3,(14-0.5)*dx_3,"")</f>
        <v/>
      </c>
      <c r="R159" s="4" t="str">
        <f>IF(15&lt;=N_3,(15-0.5)*dx_3,"")</f>
        <v/>
      </c>
      <c r="S159" s="4" t="str">
        <f>IF(16&lt;=N_3,(16-0.5)*dx_3,"")</f>
        <v/>
      </c>
      <c r="T159" s="4" t="str">
        <f>IF(17&lt;=N_3,(17-0.5)*dx_3,"")</f>
        <v/>
      </c>
      <c r="U159" s="4" t="str">
        <f>IF(18&lt;=N_3,(18-0.5)*dx_3,"")</f>
        <v/>
      </c>
      <c r="V159" s="4" t="str">
        <f>IF(19&lt;=N_3,(19-0.5)*dx_3,"")</f>
        <v/>
      </c>
      <c r="W159" s="4" t="str">
        <f>IF(20&lt;=N_3,(20-0.5)*dx_3,"")</f>
        <v/>
      </c>
      <c r="X159" s="4" t="str">
        <f>IF(21&lt;=N_3,(21-0.5)*dx_3,"")</f>
        <v/>
      </c>
    </row>
    <row r="160" spans="1:24" x14ac:dyDescent="0.25">
      <c r="A160" s="2" t="s">
        <v>50</v>
      </c>
      <c r="B160" s="2" t="s">
        <v>51</v>
      </c>
    </row>
    <row r="161" spans="1:24" x14ac:dyDescent="0.25">
      <c r="A161" s="2">
        <v>1</v>
      </c>
      <c r="B161" s="4">
        <f>IF(1&lt;=N_3,(1-0.5)*dx_3,"")</f>
        <v>8.3333333333333329E-2</v>
      </c>
      <c r="D161" s="4" t="str">
        <f t="shared" ref="D161:D181" si="42">IF(COUNT(C$159,E$159,$B160,$B161,$B162)&lt;5,"",(U0*SIN(PI()*E$159/L)*SIN(PI()*$B161/L)-U0*SIN(PI()*C$159/L)*SIN(PI()*$B161/L))/(2*dx_3))</f>
        <v/>
      </c>
      <c r="E161" s="4" t="str">
        <f t="shared" ref="E161:E181" si="43">IF(COUNT(D$159,F$159,$B160,$B161,$B162)&lt;5,"",(U0*SIN(PI()*F$159/L)*SIN(PI()*$B161/L)-U0*SIN(PI()*D$159/L)*SIN(PI()*$B161/L))/(2*dx_3))</f>
        <v/>
      </c>
      <c r="F161" s="4" t="str">
        <f t="shared" ref="F161:F181" si="44">IF(COUNT(E$159,G$159,$B160,$B161,$B162)&lt;5,"",(U0*SIN(PI()*G$159/L)*SIN(PI()*$B161/L)-U0*SIN(PI()*E$159/L)*SIN(PI()*$B161/L))/(2*dx_3))</f>
        <v/>
      </c>
      <c r="G161" s="4" t="str">
        <f t="shared" ref="G161:G181" si="45">IF(COUNT(F$159,H$159,$B160,$B161,$B162)&lt;5,"",(U0*SIN(PI()*H$159/L)*SIN(PI()*$B161/L)-U0*SIN(PI()*F$159/L)*SIN(PI()*$B161/L))/(2*dx_3))</f>
        <v/>
      </c>
      <c r="H161" s="4" t="str">
        <f t="shared" ref="H161:H181" si="46">IF(COUNT(G$159,I$159,$B160,$B161,$B162)&lt;5,"",(U0*SIN(PI()*I$159/L)*SIN(PI()*$B161/L)-U0*SIN(PI()*G$159/L)*SIN(PI()*$B161/L))/(2*dx_3))</f>
        <v/>
      </c>
      <c r="I161" s="4" t="str">
        <f t="shared" ref="I161:I181" si="47">IF(COUNT(H$159,J$159,$B160,$B161,$B162)&lt;5,"",(U0*SIN(PI()*J$159/L)*SIN(PI()*$B161/L)-U0*SIN(PI()*H$159/L)*SIN(PI()*$B161/L))/(2*dx_3))</f>
        <v/>
      </c>
      <c r="J161" s="4" t="str">
        <f t="shared" ref="J161:J181" si="48">IF(COUNT(I$159,K$159,$B160,$B161,$B162)&lt;5,"",(U0*SIN(PI()*K$159/L)*SIN(PI()*$B161/L)-U0*SIN(PI()*I$159/L)*SIN(PI()*$B161/L))/(2*dx_3))</f>
        <v/>
      </c>
      <c r="K161" s="4" t="str">
        <f t="shared" ref="K161:K181" si="49">IF(COUNT(J$159,L$159,$B160,$B161,$B162)&lt;5,"",(U0*SIN(PI()*L$159/L)*SIN(PI()*$B161/L)-U0*SIN(PI()*J$159/L)*SIN(PI()*$B161/L))/(2*dx_3))</f>
        <v/>
      </c>
      <c r="L161" s="4" t="str">
        <f t="shared" ref="L161:L181" si="50">IF(COUNT(K$159,M$159,$B160,$B161,$B162)&lt;5,"",(U0*SIN(PI()*M$159/L)*SIN(PI()*$B161/L)-U0*SIN(PI()*K$159/L)*SIN(PI()*$B161/L))/(2*dx_3))</f>
        <v/>
      </c>
      <c r="M161" s="4" t="str">
        <f t="shared" ref="M161:M181" si="51">IF(COUNT(L$159,N$159,$B160,$B161,$B162)&lt;5,"",(U0*SIN(PI()*N$159/L)*SIN(PI()*$B161/L)-U0*SIN(PI()*L$159/L)*SIN(PI()*$B161/L))/(2*dx_3))</f>
        <v/>
      </c>
      <c r="N161" s="4" t="str">
        <f t="shared" ref="N161:N181" si="52">IF(COUNT(M$159,O$159,$B160,$B161,$B162)&lt;5,"",(U0*SIN(PI()*O$159/L)*SIN(PI()*$B161/L)-U0*SIN(PI()*M$159/L)*SIN(PI()*$B161/L))/(2*dx_3))</f>
        <v/>
      </c>
      <c r="O161" s="4" t="str">
        <f t="shared" ref="O161:O181" si="53">IF(COUNT(N$159,P$159,$B160,$B161,$B162)&lt;5,"",(U0*SIN(PI()*P$159/L)*SIN(PI()*$B161/L)-U0*SIN(PI()*N$159/L)*SIN(PI()*$B161/L))/(2*dx_3))</f>
        <v/>
      </c>
      <c r="P161" s="4" t="str">
        <f t="shared" ref="P161:P181" si="54">IF(COUNT(O$159,Q$159,$B160,$B161,$B162)&lt;5,"",(U0*SIN(PI()*Q$159/L)*SIN(PI()*$B161/L)-U0*SIN(PI()*O$159/L)*SIN(PI()*$B161/L))/(2*dx_3))</f>
        <v/>
      </c>
      <c r="Q161" s="4" t="str">
        <f t="shared" ref="Q161:Q181" si="55">IF(COUNT(P$159,R$159,$B160,$B161,$B162)&lt;5,"",(U0*SIN(PI()*R$159/L)*SIN(PI()*$B161/L)-U0*SIN(PI()*P$159/L)*SIN(PI()*$B161/L))/(2*dx_3))</f>
        <v/>
      </c>
      <c r="R161" s="4" t="str">
        <f t="shared" ref="R161:R181" si="56">IF(COUNT(Q$159,S$159,$B160,$B161,$B162)&lt;5,"",(U0*SIN(PI()*S$159/L)*SIN(PI()*$B161/L)-U0*SIN(PI()*Q$159/L)*SIN(PI()*$B161/L))/(2*dx_3))</f>
        <v/>
      </c>
      <c r="S161" s="4" t="str">
        <f t="shared" ref="S161:S181" si="57">IF(COUNT(R$159,T$159,$B160,$B161,$B162)&lt;5,"",(U0*SIN(PI()*T$159/L)*SIN(PI()*$B161/L)-U0*SIN(PI()*R$159/L)*SIN(PI()*$B161/L))/(2*dx_3))</f>
        <v/>
      </c>
      <c r="T161" s="4" t="str">
        <f t="shared" ref="T161:T181" si="58">IF(COUNT(S$159,U$159,$B160,$B161,$B162)&lt;5,"",(U0*SIN(PI()*U$159/L)*SIN(PI()*$B161/L)-U0*SIN(PI()*S$159/L)*SIN(PI()*$B161/L))/(2*dx_3))</f>
        <v/>
      </c>
      <c r="U161" s="4" t="str">
        <f t="shared" ref="U161:U181" si="59">IF(COUNT(T$159,V$159,$B160,$B161,$B162)&lt;5,"",(U0*SIN(PI()*V$159/L)*SIN(PI()*$B161/L)-U0*SIN(PI()*T$159/L)*SIN(PI()*$B161/L))/(2*dx_3))</f>
        <v/>
      </c>
      <c r="V161" s="4" t="str">
        <f t="shared" ref="V161:V181" si="60">IF(COUNT(U$159,W$159,$B160,$B161,$B162)&lt;5,"",(U0*SIN(PI()*W$159/L)*SIN(PI()*$B161/L)-U0*SIN(PI()*U$159/L)*SIN(PI()*$B161/L))/(2*dx_3))</f>
        <v/>
      </c>
      <c r="W161" s="4" t="str">
        <f t="shared" ref="W161:W181" si="61">IF(COUNT(V$159,X$159,$B160,$B161,$B162)&lt;5,"",(U0*SIN(PI()*X$159/L)*SIN(PI()*$B161/L)-U0*SIN(PI()*V$159/L)*SIN(PI()*$B161/L))/(2*dx_3))</f>
        <v/>
      </c>
      <c r="X161" s="4" t="str">
        <f t="shared" ref="X161:X181" si="62">IF(COUNT(W$159,Y$159,$B160,$B161,$B162)&lt;5,"",(U0*SIN(PI()*Y$159/L)*SIN(PI()*$B161/L)-U0*SIN(PI()*W$159/L)*SIN(PI()*$B161/L))/(2*dx_3))</f>
        <v/>
      </c>
    </row>
    <row r="162" spans="1:24" x14ac:dyDescent="0.25">
      <c r="A162" s="2">
        <v>2</v>
      </c>
      <c r="B162" s="4">
        <f>IF(2&lt;=N_3,(2-0.5)*dx_3,"")</f>
        <v>0.25</v>
      </c>
      <c r="D162" s="4" t="str">
        <f t="shared" si="42"/>
        <v/>
      </c>
      <c r="E162" s="4">
        <f t="shared" si="43"/>
        <v>1.4999999999999998</v>
      </c>
      <c r="F162" s="4">
        <f t="shared" si="44"/>
        <v>0.54903810567665856</v>
      </c>
      <c r="G162" s="4">
        <f t="shared" si="45"/>
        <v>-0.54903810567665756</v>
      </c>
      <c r="H162" s="4">
        <f t="shared" si="46"/>
        <v>-1.4999999999999998</v>
      </c>
      <c r="I162" s="4" t="str">
        <f t="shared" si="47"/>
        <v/>
      </c>
      <c r="J162" s="4" t="str">
        <f t="shared" si="48"/>
        <v/>
      </c>
      <c r="K162" s="4" t="str">
        <f t="shared" si="49"/>
        <v/>
      </c>
      <c r="L162" s="4" t="str">
        <f t="shared" si="50"/>
        <v/>
      </c>
      <c r="M162" s="4" t="str">
        <f t="shared" si="51"/>
        <v/>
      </c>
      <c r="N162" s="4" t="str">
        <f t="shared" si="52"/>
        <v/>
      </c>
      <c r="O162" s="4" t="str">
        <f t="shared" si="53"/>
        <v/>
      </c>
      <c r="P162" s="4" t="str">
        <f t="shared" si="54"/>
        <v/>
      </c>
      <c r="Q162" s="4" t="str">
        <f t="shared" si="55"/>
        <v/>
      </c>
      <c r="R162" s="4" t="str">
        <f t="shared" si="56"/>
        <v/>
      </c>
      <c r="S162" s="4" t="str">
        <f t="shared" si="57"/>
        <v/>
      </c>
      <c r="T162" s="4" t="str">
        <f t="shared" si="58"/>
        <v/>
      </c>
      <c r="U162" s="4" t="str">
        <f t="shared" si="59"/>
        <v/>
      </c>
      <c r="V162" s="4" t="str">
        <f t="shared" si="60"/>
        <v/>
      </c>
      <c r="W162" s="4" t="str">
        <f t="shared" si="61"/>
        <v/>
      </c>
      <c r="X162" s="4" t="str">
        <f t="shared" si="62"/>
        <v/>
      </c>
    </row>
    <row r="163" spans="1:24" x14ac:dyDescent="0.25">
      <c r="A163" s="2">
        <v>3</v>
      </c>
      <c r="B163" s="4">
        <f>IF(3&lt;=N_3,(3-0.5)*dx_3,"")</f>
        <v>0.41666666666666663</v>
      </c>
      <c r="D163" s="4" t="str">
        <f t="shared" si="42"/>
        <v/>
      </c>
      <c r="E163" s="4">
        <f t="shared" si="43"/>
        <v>2.0490381056766576</v>
      </c>
      <c r="F163" s="4">
        <f t="shared" si="44"/>
        <v>0.75000000000000067</v>
      </c>
      <c r="G163" s="4">
        <f t="shared" si="45"/>
        <v>-0.74999999999999967</v>
      </c>
      <c r="H163" s="4">
        <f t="shared" si="46"/>
        <v>-2.0490381056766576</v>
      </c>
      <c r="I163" s="4" t="str">
        <f t="shared" si="47"/>
        <v/>
      </c>
      <c r="J163" s="4" t="str">
        <f t="shared" si="48"/>
        <v/>
      </c>
      <c r="K163" s="4" t="str">
        <f t="shared" si="49"/>
        <v/>
      </c>
      <c r="L163" s="4" t="str">
        <f t="shared" si="50"/>
        <v/>
      </c>
      <c r="M163" s="4" t="str">
        <f t="shared" si="51"/>
        <v/>
      </c>
      <c r="N163" s="4" t="str">
        <f t="shared" si="52"/>
        <v/>
      </c>
      <c r="O163" s="4" t="str">
        <f t="shared" si="53"/>
        <v/>
      </c>
      <c r="P163" s="4" t="str">
        <f t="shared" si="54"/>
        <v/>
      </c>
      <c r="Q163" s="4" t="str">
        <f t="shared" si="55"/>
        <v/>
      </c>
      <c r="R163" s="4" t="str">
        <f t="shared" si="56"/>
        <v/>
      </c>
      <c r="S163" s="4" t="str">
        <f t="shared" si="57"/>
        <v/>
      </c>
      <c r="T163" s="4" t="str">
        <f t="shared" si="58"/>
        <v/>
      </c>
      <c r="U163" s="4" t="str">
        <f t="shared" si="59"/>
        <v/>
      </c>
      <c r="V163" s="4" t="str">
        <f t="shared" si="60"/>
        <v/>
      </c>
      <c r="W163" s="4" t="str">
        <f t="shared" si="61"/>
        <v/>
      </c>
      <c r="X163" s="4" t="str">
        <f t="shared" si="62"/>
        <v/>
      </c>
    </row>
    <row r="164" spans="1:24" x14ac:dyDescent="0.25">
      <c r="A164" s="2">
        <v>4</v>
      </c>
      <c r="B164" s="4">
        <f>IF(4&lt;=N_3,(4-0.5)*dx_3,"")</f>
        <v>0.58333333333333326</v>
      </c>
      <c r="D164" s="4" t="str">
        <f t="shared" si="42"/>
        <v/>
      </c>
      <c r="E164" s="4">
        <f t="shared" si="43"/>
        <v>2.0490381056766584</v>
      </c>
      <c r="F164" s="4">
        <f t="shared" si="44"/>
        <v>0.75000000000000067</v>
      </c>
      <c r="G164" s="4">
        <f t="shared" si="45"/>
        <v>-0.74999999999999967</v>
      </c>
      <c r="H164" s="4">
        <f t="shared" si="46"/>
        <v>-2.0490381056766584</v>
      </c>
      <c r="I164" s="4" t="str">
        <f t="shared" si="47"/>
        <v/>
      </c>
      <c r="J164" s="4" t="str">
        <f t="shared" si="48"/>
        <v/>
      </c>
      <c r="K164" s="4" t="str">
        <f t="shared" si="49"/>
        <v/>
      </c>
      <c r="L164" s="4" t="str">
        <f t="shared" si="50"/>
        <v/>
      </c>
      <c r="M164" s="4" t="str">
        <f t="shared" si="51"/>
        <v/>
      </c>
      <c r="N164" s="4" t="str">
        <f t="shared" si="52"/>
        <v/>
      </c>
      <c r="O164" s="4" t="str">
        <f t="shared" si="53"/>
        <v/>
      </c>
      <c r="P164" s="4" t="str">
        <f t="shared" si="54"/>
        <v/>
      </c>
      <c r="Q164" s="4" t="str">
        <f t="shared" si="55"/>
        <v/>
      </c>
      <c r="R164" s="4" t="str">
        <f t="shared" si="56"/>
        <v/>
      </c>
      <c r="S164" s="4" t="str">
        <f t="shared" si="57"/>
        <v/>
      </c>
      <c r="T164" s="4" t="str">
        <f t="shared" si="58"/>
        <v/>
      </c>
      <c r="U164" s="4" t="str">
        <f t="shared" si="59"/>
        <v/>
      </c>
      <c r="V164" s="4" t="str">
        <f t="shared" si="60"/>
        <v/>
      </c>
      <c r="W164" s="4" t="str">
        <f t="shared" si="61"/>
        <v/>
      </c>
      <c r="X164" s="4" t="str">
        <f t="shared" si="62"/>
        <v/>
      </c>
    </row>
    <row r="165" spans="1:24" x14ac:dyDescent="0.25">
      <c r="A165" s="2">
        <v>5</v>
      </c>
      <c r="B165" s="4">
        <f>IF(5&lt;=N_3,(5-0.5)*dx_3,"")</f>
        <v>0.75</v>
      </c>
      <c r="D165" s="4" t="str">
        <f t="shared" si="42"/>
        <v/>
      </c>
      <c r="E165" s="4">
        <f t="shared" si="43"/>
        <v>1.5</v>
      </c>
      <c r="F165" s="4">
        <f t="shared" si="44"/>
        <v>0.54903810567665856</v>
      </c>
      <c r="G165" s="4">
        <f t="shared" si="45"/>
        <v>-0.54903810567665756</v>
      </c>
      <c r="H165" s="4">
        <f t="shared" si="46"/>
        <v>-1.5</v>
      </c>
      <c r="I165" s="4" t="str">
        <f t="shared" si="47"/>
        <v/>
      </c>
      <c r="J165" s="4" t="str">
        <f t="shared" si="48"/>
        <v/>
      </c>
      <c r="K165" s="4" t="str">
        <f t="shared" si="49"/>
        <v/>
      </c>
      <c r="L165" s="4" t="str">
        <f t="shared" si="50"/>
        <v/>
      </c>
      <c r="M165" s="4" t="str">
        <f t="shared" si="51"/>
        <v/>
      </c>
      <c r="N165" s="4" t="str">
        <f t="shared" si="52"/>
        <v/>
      </c>
      <c r="O165" s="4" t="str">
        <f t="shared" si="53"/>
        <v/>
      </c>
      <c r="P165" s="4" t="str">
        <f t="shared" si="54"/>
        <v/>
      </c>
      <c r="Q165" s="4" t="str">
        <f t="shared" si="55"/>
        <v/>
      </c>
      <c r="R165" s="4" t="str">
        <f t="shared" si="56"/>
        <v/>
      </c>
      <c r="S165" s="4" t="str">
        <f t="shared" si="57"/>
        <v/>
      </c>
      <c r="T165" s="4" t="str">
        <f t="shared" si="58"/>
        <v/>
      </c>
      <c r="U165" s="4" t="str">
        <f t="shared" si="59"/>
        <v/>
      </c>
      <c r="V165" s="4" t="str">
        <f t="shared" si="60"/>
        <v/>
      </c>
      <c r="W165" s="4" t="str">
        <f t="shared" si="61"/>
        <v/>
      </c>
      <c r="X165" s="4" t="str">
        <f t="shared" si="62"/>
        <v/>
      </c>
    </row>
    <row r="166" spans="1:24" x14ac:dyDescent="0.25">
      <c r="A166" s="2">
        <v>6</v>
      </c>
      <c r="B166" s="4">
        <f>IF(6&lt;=N_3,(6-0.5)*dx_3,"")</f>
        <v>0.91666666666666663</v>
      </c>
      <c r="D166" s="4" t="str">
        <f t="shared" si="42"/>
        <v/>
      </c>
      <c r="E166" s="4" t="str">
        <f t="shared" si="43"/>
        <v/>
      </c>
      <c r="F166" s="4" t="str">
        <f t="shared" si="44"/>
        <v/>
      </c>
      <c r="G166" s="4" t="str">
        <f t="shared" si="45"/>
        <v/>
      </c>
      <c r="H166" s="4" t="str">
        <f t="shared" si="46"/>
        <v/>
      </c>
      <c r="I166" s="4" t="str">
        <f t="shared" si="47"/>
        <v/>
      </c>
      <c r="J166" s="4" t="str">
        <f t="shared" si="48"/>
        <v/>
      </c>
      <c r="K166" s="4" t="str">
        <f t="shared" si="49"/>
        <v/>
      </c>
      <c r="L166" s="4" t="str">
        <f t="shared" si="50"/>
        <v/>
      </c>
      <c r="M166" s="4" t="str">
        <f t="shared" si="51"/>
        <v/>
      </c>
      <c r="N166" s="4" t="str">
        <f t="shared" si="52"/>
        <v/>
      </c>
      <c r="O166" s="4" t="str">
        <f t="shared" si="53"/>
        <v/>
      </c>
      <c r="P166" s="4" t="str">
        <f t="shared" si="54"/>
        <v/>
      </c>
      <c r="Q166" s="4" t="str">
        <f t="shared" si="55"/>
        <v/>
      </c>
      <c r="R166" s="4" t="str">
        <f t="shared" si="56"/>
        <v/>
      </c>
      <c r="S166" s="4" t="str">
        <f t="shared" si="57"/>
        <v/>
      </c>
      <c r="T166" s="4" t="str">
        <f t="shared" si="58"/>
        <v/>
      </c>
      <c r="U166" s="4" t="str">
        <f t="shared" si="59"/>
        <v/>
      </c>
      <c r="V166" s="4" t="str">
        <f t="shared" si="60"/>
        <v/>
      </c>
      <c r="W166" s="4" t="str">
        <f t="shared" si="61"/>
        <v/>
      </c>
      <c r="X166" s="4" t="str">
        <f t="shared" si="62"/>
        <v/>
      </c>
    </row>
    <row r="167" spans="1:24" x14ac:dyDescent="0.25">
      <c r="A167" s="2">
        <v>7</v>
      </c>
      <c r="B167" s="4" t="str">
        <f>IF(7&lt;=N_3,(7-0.5)*dx_3,"")</f>
        <v/>
      </c>
      <c r="D167" s="4" t="str">
        <f t="shared" si="42"/>
        <v/>
      </c>
      <c r="E167" s="4" t="str">
        <f t="shared" si="43"/>
        <v/>
      </c>
      <c r="F167" s="4" t="str">
        <f t="shared" si="44"/>
        <v/>
      </c>
      <c r="G167" s="4" t="str">
        <f t="shared" si="45"/>
        <v/>
      </c>
      <c r="H167" s="4" t="str">
        <f t="shared" si="46"/>
        <v/>
      </c>
      <c r="I167" s="4" t="str">
        <f t="shared" si="47"/>
        <v/>
      </c>
      <c r="J167" s="4" t="str">
        <f t="shared" si="48"/>
        <v/>
      </c>
      <c r="K167" s="4" t="str">
        <f t="shared" si="49"/>
        <v/>
      </c>
      <c r="L167" s="4" t="str">
        <f t="shared" si="50"/>
        <v/>
      </c>
      <c r="M167" s="4" t="str">
        <f t="shared" si="51"/>
        <v/>
      </c>
      <c r="N167" s="4" t="str">
        <f t="shared" si="52"/>
        <v/>
      </c>
      <c r="O167" s="4" t="str">
        <f t="shared" si="53"/>
        <v/>
      </c>
      <c r="P167" s="4" t="str">
        <f t="shared" si="54"/>
        <v/>
      </c>
      <c r="Q167" s="4" t="str">
        <f t="shared" si="55"/>
        <v/>
      </c>
      <c r="R167" s="4" t="str">
        <f t="shared" si="56"/>
        <v/>
      </c>
      <c r="S167" s="4" t="str">
        <f t="shared" si="57"/>
        <v/>
      </c>
      <c r="T167" s="4" t="str">
        <f t="shared" si="58"/>
        <v/>
      </c>
      <c r="U167" s="4" t="str">
        <f t="shared" si="59"/>
        <v/>
      </c>
      <c r="V167" s="4" t="str">
        <f t="shared" si="60"/>
        <v/>
      </c>
      <c r="W167" s="4" t="str">
        <f t="shared" si="61"/>
        <v/>
      </c>
      <c r="X167" s="4" t="str">
        <f t="shared" si="62"/>
        <v/>
      </c>
    </row>
    <row r="168" spans="1:24" x14ac:dyDescent="0.25">
      <c r="A168" s="2">
        <v>8</v>
      </c>
      <c r="B168" s="4" t="str">
        <f>IF(8&lt;=N_3,(8-0.5)*dx_3,"")</f>
        <v/>
      </c>
      <c r="D168" s="4" t="str">
        <f t="shared" si="42"/>
        <v/>
      </c>
      <c r="E168" s="4" t="str">
        <f t="shared" si="43"/>
        <v/>
      </c>
      <c r="F168" s="4" t="str">
        <f t="shared" si="44"/>
        <v/>
      </c>
      <c r="G168" s="4" t="str">
        <f t="shared" si="45"/>
        <v/>
      </c>
      <c r="H168" s="4" t="str">
        <f t="shared" si="46"/>
        <v/>
      </c>
      <c r="I168" s="4" t="str">
        <f t="shared" si="47"/>
        <v/>
      </c>
      <c r="J168" s="4" t="str">
        <f t="shared" si="48"/>
        <v/>
      </c>
      <c r="K168" s="4" t="str">
        <f t="shared" si="49"/>
        <v/>
      </c>
      <c r="L168" s="4" t="str">
        <f t="shared" si="50"/>
        <v/>
      </c>
      <c r="M168" s="4" t="str">
        <f t="shared" si="51"/>
        <v/>
      </c>
      <c r="N168" s="4" t="str">
        <f t="shared" si="52"/>
        <v/>
      </c>
      <c r="O168" s="4" t="str">
        <f t="shared" si="53"/>
        <v/>
      </c>
      <c r="P168" s="4" t="str">
        <f t="shared" si="54"/>
        <v/>
      </c>
      <c r="Q168" s="4" t="str">
        <f t="shared" si="55"/>
        <v/>
      </c>
      <c r="R168" s="4" t="str">
        <f t="shared" si="56"/>
        <v/>
      </c>
      <c r="S168" s="4" t="str">
        <f t="shared" si="57"/>
        <v/>
      </c>
      <c r="T168" s="4" t="str">
        <f t="shared" si="58"/>
        <v/>
      </c>
      <c r="U168" s="4" t="str">
        <f t="shared" si="59"/>
        <v/>
      </c>
      <c r="V168" s="4" t="str">
        <f t="shared" si="60"/>
        <v/>
      </c>
      <c r="W168" s="4" t="str">
        <f t="shared" si="61"/>
        <v/>
      </c>
      <c r="X168" s="4" t="str">
        <f t="shared" si="62"/>
        <v/>
      </c>
    </row>
    <row r="169" spans="1:24" x14ac:dyDescent="0.25">
      <c r="A169" s="2">
        <v>9</v>
      </c>
      <c r="B169" s="4" t="str">
        <f>IF(9&lt;=N_3,(9-0.5)*dx_3,"")</f>
        <v/>
      </c>
      <c r="D169" s="4" t="str">
        <f t="shared" si="42"/>
        <v/>
      </c>
      <c r="E169" s="4" t="str">
        <f t="shared" si="43"/>
        <v/>
      </c>
      <c r="F169" s="4" t="str">
        <f t="shared" si="44"/>
        <v/>
      </c>
      <c r="G169" s="4" t="str">
        <f t="shared" si="45"/>
        <v/>
      </c>
      <c r="H169" s="4" t="str">
        <f t="shared" si="46"/>
        <v/>
      </c>
      <c r="I169" s="4" t="str">
        <f t="shared" si="47"/>
        <v/>
      </c>
      <c r="J169" s="4" t="str">
        <f t="shared" si="48"/>
        <v/>
      </c>
      <c r="K169" s="4" t="str">
        <f t="shared" si="49"/>
        <v/>
      </c>
      <c r="L169" s="4" t="str">
        <f t="shared" si="50"/>
        <v/>
      </c>
      <c r="M169" s="4" t="str">
        <f t="shared" si="51"/>
        <v/>
      </c>
      <c r="N169" s="4" t="str">
        <f t="shared" si="52"/>
        <v/>
      </c>
      <c r="O169" s="4" t="str">
        <f t="shared" si="53"/>
        <v/>
      </c>
      <c r="P169" s="4" t="str">
        <f t="shared" si="54"/>
        <v/>
      </c>
      <c r="Q169" s="4" t="str">
        <f t="shared" si="55"/>
        <v/>
      </c>
      <c r="R169" s="4" t="str">
        <f t="shared" si="56"/>
        <v/>
      </c>
      <c r="S169" s="4" t="str">
        <f t="shared" si="57"/>
        <v/>
      </c>
      <c r="T169" s="4" t="str">
        <f t="shared" si="58"/>
        <v/>
      </c>
      <c r="U169" s="4" t="str">
        <f t="shared" si="59"/>
        <v/>
      </c>
      <c r="V169" s="4" t="str">
        <f t="shared" si="60"/>
        <v/>
      </c>
      <c r="W169" s="4" t="str">
        <f t="shared" si="61"/>
        <v/>
      </c>
      <c r="X169" s="4" t="str">
        <f t="shared" si="62"/>
        <v/>
      </c>
    </row>
    <row r="170" spans="1:24" x14ac:dyDescent="0.25">
      <c r="A170" s="2">
        <v>10</v>
      </c>
      <c r="B170" s="4" t="str">
        <f>IF(10&lt;=N_3,(10-0.5)*dx_3,"")</f>
        <v/>
      </c>
      <c r="D170" s="4" t="str">
        <f t="shared" si="42"/>
        <v/>
      </c>
      <c r="E170" s="4" t="str">
        <f t="shared" si="43"/>
        <v/>
      </c>
      <c r="F170" s="4" t="str">
        <f t="shared" si="44"/>
        <v/>
      </c>
      <c r="G170" s="4" t="str">
        <f t="shared" si="45"/>
        <v/>
      </c>
      <c r="H170" s="4" t="str">
        <f t="shared" si="46"/>
        <v/>
      </c>
      <c r="I170" s="4" t="str">
        <f t="shared" si="47"/>
        <v/>
      </c>
      <c r="J170" s="4" t="str">
        <f t="shared" si="48"/>
        <v/>
      </c>
      <c r="K170" s="4" t="str">
        <f t="shared" si="49"/>
        <v/>
      </c>
      <c r="L170" s="4" t="str">
        <f t="shared" si="50"/>
        <v/>
      </c>
      <c r="M170" s="4" t="str">
        <f t="shared" si="51"/>
        <v/>
      </c>
      <c r="N170" s="4" t="str">
        <f t="shared" si="52"/>
        <v/>
      </c>
      <c r="O170" s="4" t="str">
        <f t="shared" si="53"/>
        <v/>
      </c>
      <c r="P170" s="4" t="str">
        <f t="shared" si="54"/>
        <v/>
      </c>
      <c r="Q170" s="4" t="str">
        <f t="shared" si="55"/>
        <v/>
      </c>
      <c r="R170" s="4" t="str">
        <f t="shared" si="56"/>
        <v/>
      </c>
      <c r="S170" s="4" t="str">
        <f t="shared" si="57"/>
        <v/>
      </c>
      <c r="T170" s="4" t="str">
        <f t="shared" si="58"/>
        <v/>
      </c>
      <c r="U170" s="4" t="str">
        <f t="shared" si="59"/>
        <v/>
      </c>
      <c r="V170" s="4" t="str">
        <f t="shared" si="60"/>
        <v/>
      </c>
      <c r="W170" s="4" t="str">
        <f t="shared" si="61"/>
        <v/>
      </c>
      <c r="X170" s="4" t="str">
        <f t="shared" si="62"/>
        <v/>
      </c>
    </row>
    <row r="171" spans="1:24" x14ac:dyDescent="0.25">
      <c r="A171" s="2">
        <v>11</v>
      </c>
      <c r="B171" s="4" t="str">
        <f>IF(11&lt;=N_3,(11-0.5)*dx_3,"")</f>
        <v/>
      </c>
      <c r="D171" s="4" t="str">
        <f t="shared" si="42"/>
        <v/>
      </c>
      <c r="E171" s="4" t="str">
        <f t="shared" si="43"/>
        <v/>
      </c>
      <c r="F171" s="4" t="str">
        <f t="shared" si="44"/>
        <v/>
      </c>
      <c r="G171" s="4" t="str">
        <f t="shared" si="45"/>
        <v/>
      </c>
      <c r="H171" s="4" t="str">
        <f t="shared" si="46"/>
        <v/>
      </c>
      <c r="I171" s="4" t="str">
        <f t="shared" si="47"/>
        <v/>
      </c>
      <c r="J171" s="4" t="str">
        <f t="shared" si="48"/>
        <v/>
      </c>
      <c r="K171" s="4" t="str">
        <f t="shared" si="49"/>
        <v/>
      </c>
      <c r="L171" s="4" t="str">
        <f t="shared" si="50"/>
        <v/>
      </c>
      <c r="M171" s="4" t="str">
        <f t="shared" si="51"/>
        <v/>
      </c>
      <c r="N171" s="4" t="str">
        <f t="shared" si="52"/>
        <v/>
      </c>
      <c r="O171" s="4" t="str">
        <f t="shared" si="53"/>
        <v/>
      </c>
      <c r="P171" s="4" t="str">
        <f t="shared" si="54"/>
        <v/>
      </c>
      <c r="Q171" s="4" t="str">
        <f t="shared" si="55"/>
        <v/>
      </c>
      <c r="R171" s="4" t="str">
        <f t="shared" si="56"/>
        <v/>
      </c>
      <c r="S171" s="4" t="str">
        <f t="shared" si="57"/>
        <v/>
      </c>
      <c r="T171" s="4" t="str">
        <f t="shared" si="58"/>
        <v/>
      </c>
      <c r="U171" s="4" t="str">
        <f t="shared" si="59"/>
        <v/>
      </c>
      <c r="V171" s="4" t="str">
        <f t="shared" si="60"/>
        <v/>
      </c>
      <c r="W171" s="4" t="str">
        <f t="shared" si="61"/>
        <v/>
      </c>
      <c r="X171" s="4" t="str">
        <f t="shared" si="62"/>
        <v/>
      </c>
    </row>
    <row r="172" spans="1:24" x14ac:dyDescent="0.25">
      <c r="A172" s="2">
        <v>12</v>
      </c>
      <c r="B172" s="4" t="str">
        <f>IF(12&lt;=N_3,(12-0.5)*dx_3,"")</f>
        <v/>
      </c>
      <c r="D172" s="4" t="str">
        <f t="shared" si="42"/>
        <v/>
      </c>
      <c r="E172" s="4" t="str">
        <f t="shared" si="43"/>
        <v/>
      </c>
      <c r="F172" s="4" t="str">
        <f t="shared" si="44"/>
        <v/>
      </c>
      <c r="G172" s="4" t="str">
        <f t="shared" si="45"/>
        <v/>
      </c>
      <c r="H172" s="4" t="str">
        <f t="shared" si="46"/>
        <v/>
      </c>
      <c r="I172" s="4" t="str">
        <f t="shared" si="47"/>
        <v/>
      </c>
      <c r="J172" s="4" t="str">
        <f t="shared" si="48"/>
        <v/>
      </c>
      <c r="K172" s="4" t="str">
        <f t="shared" si="49"/>
        <v/>
      </c>
      <c r="L172" s="4" t="str">
        <f t="shared" si="50"/>
        <v/>
      </c>
      <c r="M172" s="4" t="str">
        <f t="shared" si="51"/>
        <v/>
      </c>
      <c r="N172" s="4" t="str">
        <f t="shared" si="52"/>
        <v/>
      </c>
      <c r="O172" s="4" t="str">
        <f t="shared" si="53"/>
        <v/>
      </c>
      <c r="P172" s="4" t="str">
        <f t="shared" si="54"/>
        <v/>
      </c>
      <c r="Q172" s="4" t="str">
        <f t="shared" si="55"/>
        <v/>
      </c>
      <c r="R172" s="4" t="str">
        <f t="shared" si="56"/>
        <v/>
      </c>
      <c r="S172" s="4" t="str">
        <f t="shared" si="57"/>
        <v/>
      </c>
      <c r="T172" s="4" t="str">
        <f t="shared" si="58"/>
        <v/>
      </c>
      <c r="U172" s="4" t="str">
        <f t="shared" si="59"/>
        <v/>
      </c>
      <c r="V172" s="4" t="str">
        <f t="shared" si="60"/>
        <v/>
      </c>
      <c r="W172" s="4" t="str">
        <f t="shared" si="61"/>
        <v/>
      </c>
      <c r="X172" s="4" t="str">
        <f t="shared" si="62"/>
        <v/>
      </c>
    </row>
    <row r="173" spans="1:24" x14ac:dyDescent="0.25">
      <c r="A173" s="2">
        <v>13</v>
      </c>
      <c r="B173" s="4" t="str">
        <f>IF(13&lt;=N_3,(13-0.5)*dx_3,"")</f>
        <v/>
      </c>
      <c r="D173" s="4" t="str">
        <f t="shared" si="42"/>
        <v/>
      </c>
      <c r="E173" s="4" t="str">
        <f t="shared" si="43"/>
        <v/>
      </c>
      <c r="F173" s="4" t="str">
        <f t="shared" si="44"/>
        <v/>
      </c>
      <c r="G173" s="4" t="str">
        <f t="shared" si="45"/>
        <v/>
      </c>
      <c r="H173" s="4" t="str">
        <f t="shared" si="46"/>
        <v/>
      </c>
      <c r="I173" s="4" t="str">
        <f t="shared" si="47"/>
        <v/>
      </c>
      <c r="J173" s="4" t="str">
        <f t="shared" si="48"/>
        <v/>
      </c>
      <c r="K173" s="4" t="str">
        <f t="shared" si="49"/>
        <v/>
      </c>
      <c r="L173" s="4" t="str">
        <f t="shared" si="50"/>
        <v/>
      </c>
      <c r="M173" s="4" t="str">
        <f t="shared" si="51"/>
        <v/>
      </c>
      <c r="N173" s="4" t="str">
        <f t="shared" si="52"/>
        <v/>
      </c>
      <c r="O173" s="4" t="str">
        <f t="shared" si="53"/>
        <v/>
      </c>
      <c r="P173" s="4" t="str">
        <f t="shared" si="54"/>
        <v/>
      </c>
      <c r="Q173" s="4" t="str">
        <f t="shared" si="55"/>
        <v/>
      </c>
      <c r="R173" s="4" t="str">
        <f t="shared" si="56"/>
        <v/>
      </c>
      <c r="S173" s="4" t="str">
        <f t="shared" si="57"/>
        <v/>
      </c>
      <c r="T173" s="4" t="str">
        <f t="shared" si="58"/>
        <v/>
      </c>
      <c r="U173" s="4" t="str">
        <f t="shared" si="59"/>
        <v/>
      </c>
      <c r="V173" s="4" t="str">
        <f t="shared" si="60"/>
        <v/>
      </c>
      <c r="W173" s="4" t="str">
        <f t="shared" si="61"/>
        <v/>
      </c>
      <c r="X173" s="4" t="str">
        <f t="shared" si="62"/>
        <v/>
      </c>
    </row>
    <row r="174" spans="1:24" x14ac:dyDescent="0.25">
      <c r="A174" s="2">
        <v>14</v>
      </c>
      <c r="B174" s="4" t="str">
        <f>IF(14&lt;=N_3,(14-0.5)*dx_3,"")</f>
        <v/>
      </c>
      <c r="D174" s="4" t="str">
        <f t="shared" si="42"/>
        <v/>
      </c>
      <c r="E174" s="4" t="str">
        <f t="shared" si="43"/>
        <v/>
      </c>
      <c r="F174" s="4" t="str">
        <f t="shared" si="44"/>
        <v/>
      </c>
      <c r="G174" s="4" t="str">
        <f t="shared" si="45"/>
        <v/>
      </c>
      <c r="H174" s="4" t="str">
        <f t="shared" si="46"/>
        <v/>
      </c>
      <c r="I174" s="4" t="str">
        <f t="shared" si="47"/>
        <v/>
      </c>
      <c r="J174" s="4" t="str">
        <f t="shared" si="48"/>
        <v/>
      </c>
      <c r="K174" s="4" t="str">
        <f t="shared" si="49"/>
        <v/>
      </c>
      <c r="L174" s="4" t="str">
        <f t="shared" si="50"/>
        <v/>
      </c>
      <c r="M174" s="4" t="str">
        <f t="shared" si="51"/>
        <v/>
      </c>
      <c r="N174" s="4" t="str">
        <f t="shared" si="52"/>
        <v/>
      </c>
      <c r="O174" s="4" t="str">
        <f t="shared" si="53"/>
        <v/>
      </c>
      <c r="P174" s="4" t="str">
        <f t="shared" si="54"/>
        <v/>
      </c>
      <c r="Q174" s="4" t="str">
        <f t="shared" si="55"/>
        <v/>
      </c>
      <c r="R174" s="4" t="str">
        <f t="shared" si="56"/>
        <v/>
      </c>
      <c r="S174" s="4" t="str">
        <f t="shared" si="57"/>
        <v/>
      </c>
      <c r="T174" s="4" t="str">
        <f t="shared" si="58"/>
        <v/>
      </c>
      <c r="U174" s="4" t="str">
        <f t="shared" si="59"/>
        <v/>
      </c>
      <c r="V174" s="4" t="str">
        <f t="shared" si="60"/>
        <v/>
      </c>
      <c r="W174" s="4" t="str">
        <f t="shared" si="61"/>
        <v/>
      </c>
      <c r="X174" s="4" t="str">
        <f t="shared" si="62"/>
        <v/>
      </c>
    </row>
    <row r="175" spans="1:24" x14ac:dyDescent="0.25">
      <c r="A175" s="2">
        <v>15</v>
      </c>
      <c r="B175" s="4" t="str">
        <f>IF(15&lt;=N_3,(15-0.5)*dx_3,"")</f>
        <v/>
      </c>
      <c r="D175" s="4" t="str">
        <f t="shared" si="42"/>
        <v/>
      </c>
      <c r="E175" s="4" t="str">
        <f t="shared" si="43"/>
        <v/>
      </c>
      <c r="F175" s="4" t="str">
        <f t="shared" si="44"/>
        <v/>
      </c>
      <c r="G175" s="4" t="str">
        <f t="shared" si="45"/>
        <v/>
      </c>
      <c r="H175" s="4" t="str">
        <f t="shared" si="46"/>
        <v/>
      </c>
      <c r="I175" s="4" t="str">
        <f t="shared" si="47"/>
        <v/>
      </c>
      <c r="J175" s="4" t="str">
        <f t="shared" si="48"/>
        <v/>
      </c>
      <c r="K175" s="4" t="str">
        <f t="shared" si="49"/>
        <v/>
      </c>
      <c r="L175" s="4" t="str">
        <f t="shared" si="50"/>
        <v/>
      </c>
      <c r="M175" s="4" t="str">
        <f t="shared" si="51"/>
        <v/>
      </c>
      <c r="N175" s="4" t="str">
        <f t="shared" si="52"/>
        <v/>
      </c>
      <c r="O175" s="4" t="str">
        <f t="shared" si="53"/>
        <v/>
      </c>
      <c r="P175" s="4" t="str">
        <f t="shared" si="54"/>
        <v/>
      </c>
      <c r="Q175" s="4" t="str">
        <f t="shared" si="55"/>
        <v/>
      </c>
      <c r="R175" s="4" t="str">
        <f t="shared" si="56"/>
        <v/>
      </c>
      <c r="S175" s="4" t="str">
        <f t="shared" si="57"/>
        <v/>
      </c>
      <c r="T175" s="4" t="str">
        <f t="shared" si="58"/>
        <v/>
      </c>
      <c r="U175" s="4" t="str">
        <f t="shared" si="59"/>
        <v/>
      </c>
      <c r="V175" s="4" t="str">
        <f t="shared" si="60"/>
        <v/>
      </c>
      <c r="W175" s="4" t="str">
        <f t="shared" si="61"/>
        <v/>
      </c>
      <c r="X175" s="4" t="str">
        <f t="shared" si="62"/>
        <v/>
      </c>
    </row>
    <row r="176" spans="1:24" x14ac:dyDescent="0.25">
      <c r="A176" s="2">
        <v>16</v>
      </c>
      <c r="B176" s="4" t="str">
        <f>IF(16&lt;=N_3,(16-0.5)*dx_3,"")</f>
        <v/>
      </c>
      <c r="D176" s="4" t="str">
        <f t="shared" si="42"/>
        <v/>
      </c>
      <c r="E176" s="4" t="str">
        <f t="shared" si="43"/>
        <v/>
      </c>
      <c r="F176" s="4" t="str">
        <f t="shared" si="44"/>
        <v/>
      </c>
      <c r="G176" s="4" t="str">
        <f t="shared" si="45"/>
        <v/>
      </c>
      <c r="H176" s="4" t="str">
        <f t="shared" si="46"/>
        <v/>
      </c>
      <c r="I176" s="4" t="str">
        <f t="shared" si="47"/>
        <v/>
      </c>
      <c r="J176" s="4" t="str">
        <f t="shared" si="48"/>
        <v/>
      </c>
      <c r="K176" s="4" t="str">
        <f t="shared" si="49"/>
        <v/>
      </c>
      <c r="L176" s="4" t="str">
        <f t="shared" si="50"/>
        <v/>
      </c>
      <c r="M176" s="4" t="str">
        <f t="shared" si="51"/>
        <v/>
      </c>
      <c r="N176" s="4" t="str">
        <f t="shared" si="52"/>
        <v/>
      </c>
      <c r="O176" s="4" t="str">
        <f t="shared" si="53"/>
        <v/>
      </c>
      <c r="P176" s="4" t="str">
        <f t="shared" si="54"/>
        <v/>
      </c>
      <c r="Q176" s="4" t="str">
        <f t="shared" si="55"/>
        <v/>
      </c>
      <c r="R176" s="4" t="str">
        <f t="shared" si="56"/>
        <v/>
      </c>
      <c r="S176" s="4" t="str">
        <f t="shared" si="57"/>
        <v/>
      </c>
      <c r="T176" s="4" t="str">
        <f t="shared" si="58"/>
        <v/>
      </c>
      <c r="U176" s="4" t="str">
        <f t="shared" si="59"/>
        <v/>
      </c>
      <c r="V176" s="4" t="str">
        <f t="shared" si="60"/>
        <v/>
      </c>
      <c r="W176" s="4" t="str">
        <f t="shared" si="61"/>
        <v/>
      </c>
      <c r="X176" s="4" t="str">
        <f t="shared" si="62"/>
        <v/>
      </c>
    </row>
    <row r="177" spans="1:24" x14ac:dyDescent="0.25">
      <c r="A177" s="2">
        <v>17</v>
      </c>
      <c r="B177" s="4" t="str">
        <f>IF(17&lt;=N_3,(17-0.5)*dx_3,"")</f>
        <v/>
      </c>
      <c r="D177" s="4" t="str">
        <f t="shared" si="42"/>
        <v/>
      </c>
      <c r="E177" s="4" t="str">
        <f t="shared" si="43"/>
        <v/>
      </c>
      <c r="F177" s="4" t="str">
        <f t="shared" si="44"/>
        <v/>
      </c>
      <c r="G177" s="4" t="str">
        <f t="shared" si="45"/>
        <v/>
      </c>
      <c r="H177" s="4" t="str">
        <f t="shared" si="46"/>
        <v/>
      </c>
      <c r="I177" s="4" t="str">
        <f t="shared" si="47"/>
        <v/>
      </c>
      <c r="J177" s="4" t="str">
        <f t="shared" si="48"/>
        <v/>
      </c>
      <c r="K177" s="4" t="str">
        <f t="shared" si="49"/>
        <v/>
      </c>
      <c r="L177" s="4" t="str">
        <f t="shared" si="50"/>
        <v/>
      </c>
      <c r="M177" s="4" t="str">
        <f t="shared" si="51"/>
        <v/>
      </c>
      <c r="N177" s="4" t="str">
        <f t="shared" si="52"/>
        <v/>
      </c>
      <c r="O177" s="4" t="str">
        <f t="shared" si="53"/>
        <v/>
      </c>
      <c r="P177" s="4" t="str">
        <f t="shared" si="54"/>
        <v/>
      </c>
      <c r="Q177" s="4" t="str">
        <f t="shared" si="55"/>
        <v/>
      </c>
      <c r="R177" s="4" t="str">
        <f t="shared" si="56"/>
        <v/>
      </c>
      <c r="S177" s="4" t="str">
        <f t="shared" si="57"/>
        <v/>
      </c>
      <c r="T177" s="4" t="str">
        <f t="shared" si="58"/>
        <v/>
      </c>
      <c r="U177" s="4" t="str">
        <f t="shared" si="59"/>
        <v/>
      </c>
      <c r="V177" s="4" t="str">
        <f t="shared" si="60"/>
        <v/>
      </c>
      <c r="W177" s="4" t="str">
        <f t="shared" si="61"/>
        <v/>
      </c>
      <c r="X177" s="4" t="str">
        <f t="shared" si="62"/>
        <v/>
      </c>
    </row>
    <row r="178" spans="1:24" x14ac:dyDescent="0.25">
      <c r="A178" s="2">
        <v>18</v>
      </c>
      <c r="B178" s="4" t="str">
        <f>IF(18&lt;=N_3,(18-0.5)*dx_3,"")</f>
        <v/>
      </c>
      <c r="D178" s="4" t="str">
        <f t="shared" si="42"/>
        <v/>
      </c>
      <c r="E178" s="4" t="str">
        <f t="shared" si="43"/>
        <v/>
      </c>
      <c r="F178" s="4" t="str">
        <f t="shared" si="44"/>
        <v/>
      </c>
      <c r="G178" s="4" t="str">
        <f t="shared" si="45"/>
        <v/>
      </c>
      <c r="H178" s="4" t="str">
        <f t="shared" si="46"/>
        <v/>
      </c>
      <c r="I178" s="4" t="str">
        <f t="shared" si="47"/>
        <v/>
      </c>
      <c r="J178" s="4" t="str">
        <f t="shared" si="48"/>
        <v/>
      </c>
      <c r="K178" s="4" t="str">
        <f t="shared" si="49"/>
        <v/>
      </c>
      <c r="L178" s="4" t="str">
        <f t="shared" si="50"/>
        <v/>
      </c>
      <c r="M178" s="4" t="str">
        <f t="shared" si="51"/>
        <v/>
      </c>
      <c r="N178" s="4" t="str">
        <f t="shared" si="52"/>
        <v/>
      </c>
      <c r="O178" s="4" t="str">
        <f t="shared" si="53"/>
        <v/>
      </c>
      <c r="P178" s="4" t="str">
        <f t="shared" si="54"/>
        <v/>
      </c>
      <c r="Q178" s="4" t="str">
        <f t="shared" si="55"/>
        <v/>
      </c>
      <c r="R178" s="4" t="str">
        <f t="shared" si="56"/>
        <v/>
      </c>
      <c r="S178" s="4" t="str">
        <f t="shared" si="57"/>
        <v/>
      </c>
      <c r="T178" s="4" t="str">
        <f t="shared" si="58"/>
        <v/>
      </c>
      <c r="U178" s="4" t="str">
        <f t="shared" si="59"/>
        <v/>
      </c>
      <c r="V178" s="4" t="str">
        <f t="shared" si="60"/>
        <v/>
      </c>
      <c r="W178" s="4" t="str">
        <f t="shared" si="61"/>
        <v/>
      </c>
      <c r="X178" s="4" t="str">
        <f t="shared" si="62"/>
        <v/>
      </c>
    </row>
    <row r="179" spans="1:24" x14ac:dyDescent="0.25">
      <c r="A179" s="2">
        <v>19</v>
      </c>
      <c r="B179" s="4" t="str">
        <f>IF(19&lt;=N_3,(19-0.5)*dx_3,"")</f>
        <v/>
      </c>
      <c r="D179" s="4" t="str">
        <f t="shared" si="42"/>
        <v/>
      </c>
      <c r="E179" s="4" t="str">
        <f t="shared" si="43"/>
        <v/>
      </c>
      <c r="F179" s="4" t="str">
        <f t="shared" si="44"/>
        <v/>
      </c>
      <c r="G179" s="4" t="str">
        <f t="shared" si="45"/>
        <v/>
      </c>
      <c r="H179" s="4" t="str">
        <f t="shared" si="46"/>
        <v/>
      </c>
      <c r="I179" s="4" t="str">
        <f t="shared" si="47"/>
        <v/>
      </c>
      <c r="J179" s="4" t="str">
        <f t="shared" si="48"/>
        <v/>
      </c>
      <c r="K179" s="4" t="str">
        <f t="shared" si="49"/>
        <v/>
      </c>
      <c r="L179" s="4" t="str">
        <f t="shared" si="50"/>
        <v/>
      </c>
      <c r="M179" s="4" t="str">
        <f t="shared" si="51"/>
        <v/>
      </c>
      <c r="N179" s="4" t="str">
        <f t="shared" si="52"/>
        <v/>
      </c>
      <c r="O179" s="4" t="str">
        <f t="shared" si="53"/>
        <v/>
      </c>
      <c r="P179" s="4" t="str">
        <f t="shared" si="54"/>
        <v/>
      </c>
      <c r="Q179" s="4" t="str">
        <f t="shared" si="55"/>
        <v/>
      </c>
      <c r="R179" s="4" t="str">
        <f t="shared" si="56"/>
        <v/>
      </c>
      <c r="S179" s="4" t="str">
        <f t="shared" si="57"/>
        <v/>
      </c>
      <c r="T179" s="4" t="str">
        <f t="shared" si="58"/>
        <v/>
      </c>
      <c r="U179" s="4" t="str">
        <f t="shared" si="59"/>
        <v/>
      </c>
      <c r="V179" s="4" t="str">
        <f t="shared" si="60"/>
        <v/>
      </c>
      <c r="W179" s="4" t="str">
        <f t="shared" si="61"/>
        <v/>
      </c>
      <c r="X179" s="4" t="str">
        <f t="shared" si="62"/>
        <v/>
      </c>
    </row>
    <row r="180" spans="1:24" x14ac:dyDescent="0.25">
      <c r="A180" s="2">
        <v>20</v>
      </c>
      <c r="B180" s="4" t="str">
        <f>IF(20&lt;=N_3,(20-0.5)*dx_3,"")</f>
        <v/>
      </c>
      <c r="D180" s="4" t="str">
        <f t="shared" si="42"/>
        <v/>
      </c>
      <c r="E180" s="4" t="str">
        <f t="shared" si="43"/>
        <v/>
      </c>
      <c r="F180" s="4" t="str">
        <f t="shared" si="44"/>
        <v/>
      </c>
      <c r="G180" s="4" t="str">
        <f t="shared" si="45"/>
        <v/>
      </c>
      <c r="H180" s="4" t="str">
        <f t="shared" si="46"/>
        <v/>
      </c>
      <c r="I180" s="4" t="str">
        <f t="shared" si="47"/>
        <v/>
      </c>
      <c r="J180" s="4" t="str">
        <f t="shared" si="48"/>
        <v/>
      </c>
      <c r="K180" s="4" t="str">
        <f t="shared" si="49"/>
        <v/>
      </c>
      <c r="L180" s="4" t="str">
        <f t="shared" si="50"/>
        <v/>
      </c>
      <c r="M180" s="4" t="str">
        <f t="shared" si="51"/>
        <v/>
      </c>
      <c r="N180" s="4" t="str">
        <f t="shared" si="52"/>
        <v/>
      </c>
      <c r="O180" s="4" t="str">
        <f t="shared" si="53"/>
        <v/>
      </c>
      <c r="P180" s="4" t="str">
        <f t="shared" si="54"/>
        <v/>
      </c>
      <c r="Q180" s="4" t="str">
        <f t="shared" si="55"/>
        <v/>
      </c>
      <c r="R180" s="4" t="str">
        <f t="shared" si="56"/>
        <v/>
      </c>
      <c r="S180" s="4" t="str">
        <f t="shared" si="57"/>
        <v/>
      </c>
      <c r="T180" s="4" t="str">
        <f t="shared" si="58"/>
        <v/>
      </c>
      <c r="U180" s="4" t="str">
        <f t="shared" si="59"/>
        <v/>
      </c>
      <c r="V180" s="4" t="str">
        <f t="shared" si="60"/>
        <v/>
      </c>
      <c r="W180" s="4" t="str">
        <f t="shared" si="61"/>
        <v/>
      </c>
      <c r="X180" s="4" t="str">
        <f t="shared" si="62"/>
        <v/>
      </c>
    </row>
    <row r="181" spans="1:24" x14ac:dyDescent="0.25">
      <c r="A181" s="2">
        <v>21</v>
      </c>
      <c r="B181" s="4" t="str">
        <f>IF(21&lt;=N_3,(21-0.5)*dx_3,"")</f>
        <v/>
      </c>
      <c r="D181" s="4" t="str">
        <f t="shared" si="42"/>
        <v/>
      </c>
      <c r="E181" s="4" t="str">
        <f t="shared" si="43"/>
        <v/>
      </c>
      <c r="F181" s="4" t="str">
        <f t="shared" si="44"/>
        <v/>
      </c>
      <c r="G181" s="4" t="str">
        <f t="shared" si="45"/>
        <v/>
      </c>
      <c r="H181" s="4" t="str">
        <f t="shared" si="46"/>
        <v/>
      </c>
      <c r="I181" s="4" t="str">
        <f t="shared" si="47"/>
        <v/>
      </c>
      <c r="J181" s="4" t="str">
        <f t="shared" si="48"/>
        <v/>
      </c>
      <c r="K181" s="4" t="str">
        <f t="shared" si="49"/>
        <v/>
      </c>
      <c r="L181" s="4" t="str">
        <f t="shared" si="50"/>
        <v/>
      </c>
      <c r="M181" s="4" t="str">
        <f t="shared" si="51"/>
        <v/>
      </c>
      <c r="N181" s="4" t="str">
        <f t="shared" si="52"/>
        <v/>
      </c>
      <c r="O181" s="4" t="str">
        <f t="shared" si="53"/>
        <v/>
      </c>
      <c r="P181" s="4" t="str">
        <f t="shared" si="54"/>
        <v/>
      </c>
      <c r="Q181" s="4" t="str">
        <f t="shared" si="55"/>
        <v/>
      </c>
      <c r="R181" s="4" t="str">
        <f t="shared" si="56"/>
        <v/>
      </c>
      <c r="S181" s="4" t="str">
        <f t="shared" si="57"/>
        <v/>
      </c>
      <c r="T181" s="4" t="str">
        <f t="shared" si="58"/>
        <v/>
      </c>
      <c r="U181" s="4" t="str">
        <f t="shared" si="59"/>
        <v/>
      </c>
      <c r="V181" s="4" t="str">
        <f t="shared" si="60"/>
        <v/>
      </c>
      <c r="W181" s="4" t="str">
        <f t="shared" si="61"/>
        <v/>
      </c>
      <c r="X181" s="4" t="str">
        <f t="shared" si="62"/>
        <v/>
      </c>
    </row>
    <row r="185" spans="1:24" ht="15.75" x14ac:dyDescent="0.25">
      <c r="A185" s="5" t="s">
        <v>90</v>
      </c>
    </row>
    <row r="186" spans="1:24" x14ac:dyDescent="0.25">
      <c r="A186" s="2" t="s">
        <v>48</v>
      </c>
      <c r="D186" s="2">
        <v>1</v>
      </c>
      <c r="E186" s="2">
        <v>2</v>
      </c>
      <c r="F186" s="2">
        <v>3</v>
      </c>
      <c r="G186" s="2">
        <v>4</v>
      </c>
      <c r="H186" s="2">
        <v>5</v>
      </c>
      <c r="I186" s="2">
        <v>6</v>
      </c>
      <c r="J186" s="2">
        <v>7</v>
      </c>
      <c r="K186" s="2">
        <v>8</v>
      </c>
      <c r="L186" s="2">
        <v>9</v>
      </c>
      <c r="M186" s="2">
        <v>10</v>
      </c>
      <c r="N186" s="2">
        <v>11</v>
      </c>
      <c r="O186" s="2">
        <v>12</v>
      </c>
      <c r="P186" s="2">
        <v>13</v>
      </c>
      <c r="Q186" s="2">
        <v>14</v>
      </c>
      <c r="R186" s="2">
        <v>15</v>
      </c>
      <c r="S186" s="2">
        <v>16</v>
      </c>
      <c r="T186" s="2">
        <v>17</v>
      </c>
      <c r="U186" s="2">
        <v>18</v>
      </c>
      <c r="V186" s="2">
        <v>19</v>
      </c>
      <c r="W186" s="2">
        <v>20</v>
      </c>
      <c r="X186" s="2">
        <v>21</v>
      </c>
    </row>
    <row r="187" spans="1:24" x14ac:dyDescent="0.25">
      <c r="A187" s="2" t="s">
        <v>49</v>
      </c>
      <c r="D187" s="4">
        <f>IF(1&lt;=N_3,(1-0.5)*dx_3,"")</f>
        <v>8.3333333333333329E-2</v>
      </c>
      <c r="E187" s="4">
        <f>IF(2&lt;=N_3,(2-0.5)*dx_3,"")</f>
        <v>0.25</v>
      </c>
      <c r="F187" s="4">
        <f>IF(3&lt;=N_3,(3-0.5)*dx_3,"")</f>
        <v>0.41666666666666663</v>
      </c>
      <c r="G187" s="4">
        <f>IF(4&lt;=N_3,(4-0.5)*dx_3,"")</f>
        <v>0.58333333333333326</v>
      </c>
      <c r="H187" s="4">
        <f>IF(5&lt;=N_3,(5-0.5)*dx_3,"")</f>
        <v>0.75</v>
      </c>
      <c r="I187" s="4">
        <f>IF(6&lt;=N_3,(6-0.5)*dx_3,"")</f>
        <v>0.91666666666666663</v>
      </c>
      <c r="J187" s="4" t="str">
        <f>IF(7&lt;=N_3,(7-0.5)*dx_3,"")</f>
        <v/>
      </c>
      <c r="K187" s="4" t="str">
        <f>IF(8&lt;=N_3,(8-0.5)*dx_3,"")</f>
        <v/>
      </c>
      <c r="L187" s="4" t="str">
        <f>IF(9&lt;=N_3,(9-0.5)*dx_3,"")</f>
        <v/>
      </c>
      <c r="M187" s="4" t="str">
        <f>IF(10&lt;=N_3,(10-0.5)*dx_3,"")</f>
        <v/>
      </c>
      <c r="N187" s="4" t="str">
        <f>IF(11&lt;=N_3,(11-0.5)*dx_3,"")</f>
        <v/>
      </c>
      <c r="O187" s="4" t="str">
        <f>IF(12&lt;=N_3,(12-0.5)*dx_3,"")</f>
        <v/>
      </c>
      <c r="P187" s="4" t="str">
        <f>IF(13&lt;=N_3,(13-0.5)*dx_3,"")</f>
        <v/>
      </c>
      <c r="Q187" s="4" t="str">
        <f>IF(14&lt;=N_3,(14-0.5)*dx_3,"")</f>
        <v/>
      </c>
      <c r="R187" s="4" t="str">
        <f>IF(15&lt;=N_3,(15-0.5)*dx_3,"")</f>
        <v/>
      </c>
      <c r="S187" s="4" t="str">
        <f>IF(16&lt;=N_3,(16-0.5)*dx_3,"")</f>
        <v/>
      </c>
      <c r="T187" s="4" t="str">
        <f>IF(17&lt;=N_3,(17-0.5)*dx_3,"")</f>
        <v/>
      </c>
      <c r="U187" s="4" t="str">
        <f>IF(18&lt;=N_3,(18-0.5)*dx_3,"")</f>
        <v/>
      </c>
      <c r="V187" s="4" t="str">
        <f>IF(19&lt;=N_3,(19-0.5)*dx_3,"")</f>
        <v/>
      </c>
      <c r="W187" s="4" t="str">
        <f>IF(20&lt;=N_3,(20-0.5)*dx_3,"")</f>
        <v/>
      </c>
      <c r="X187" s="4" t="str">
        <f>IF(21&lt;=N_3,(21-0.5)*dx_3,"")</f>
        <v/>
      </c>
    </row>
    <row r="188" spans="1:24" x14ac:dyDescent="0.25">
      <c r="A188" s="2" t="s">
        <v>50</v>
      </c>
      <c r="B188" s="2" t="s">
        <v>51</v>
      </c>
    </row>
    <row r="189" spans="1:24" x14ac:dyDescent="0.25">
      <c r="A189" s="2">
        <v>1</v>
      </c>
      <c r="B189" s="4">
        <f>IF(1&lt;=N_3,(1-0.5)*dx_3,"")</f>
        <v>8.3333333333333329E-2</v>
      </c>
      <c r="D189" s="8" t="str">
        <f t="shared" ref="D189:X189" si="63">IF(COUNT(D161)&lt;1,"",ABS(D161-(PI()*U0/L)*COS(PI()*D$187/L)*SIN(PI()*$B189/L)))</f>
        <v/>
      </c>
      <c r="E189" s="8" t="str">
        <f t="shared" si="63"/>
        <v/>
      </c>
      <c r="F189" s="8" t="str">
        <f t="shared" si="63"/>
        <v/>
      </c>
      <c r="G189" s="8" t="str">
        <f t="shared" si="63"/>
        <v/>
      </c>
      <c r="H189" s="8" t="str">
        <f t="shared" si="63"/>
        <v/>
      </c>
      <c r="I189" s="8" t="str">
        <f t="shared" si="63"/>
        <v/>
      </c>
      <c r="J189" s="8" t="str">
        <f t="shared" si="63"/>
        <v/>
      </c>
      <c r="K189" s="8" t="str">
        <f t="shared" si="63"/>
        <v/>
      </c>
      <c r="L189" s="8" t="str">
        <f t="shared" si="63"/>
        <v/>
      </c>
      <c r="M189" s="8" t="str">
        <f t="shared" si="63"/>
        <v/>
      </c>
      <c r="N189" s="8" t="str">
        <f t="shared" si="63"/>
        <v/>
      </c>
      <c r="O189" s="8" t="str">
        <f t="shared" si="63"/>
        <v/>
      </c>
      <c r="P189" s="8" t="str">
        <f t="shared" si="63"/>
        <v/>
      </c>
      <c r="Q189" s="8" t="str">
        <f t="shared" si="63"/>
        <v/>
      </c>
      <c r="R189" s="8" t="str">
        <f t="shared" si="63"/>
        <v/>
      </c>
      <c r="S189" s="8" t="str">
        <f t="shared" si="63"/>
        <v/>
      </c>
      <c r="T189" s="8" t="str">
        <f t="shared" si="63"/>
        <v/>
      </c>
      <c r="U189" s="8" t="str">
        <f t="shared" si="63"/>
        <v/>
      </c>
      <c r="V189" s="8" t="str">
        <f t="shared" si="63"/>
        <v/>
      </c>
      <c r="W189" s="8" t="str">
        <f t="shared" si="63"/>
        <v/>
      </c>
      <c r="X189" s="8" t="str">
        <f t="shared" si="63"/>
        <v/>
      </c>
    </row>
    <row r="190" spans="1:24" x14ac:dyDescent="0.25">
      <c r="A190" s="2">
        <v>2</v>
      </c>
      <c r="B190" s="4">
        <f>IF(2&lt;=N_3,(2-0.5)*dx_3,"")</f>
        <v>0.25</v>
      </c>
      <c r="D190" s="8" t="str">
        <f t="shared" ref="D190:X190" si="64">IF(COUNT(D162)&lt;1,"",ABS(D162-(PI()*U0/L)*COS(PI()*D$187/L)*SIN(PI()*$B190/L)))</f>
        <v/>
      </c>
      <c r="E190" s="8">
        <f t="shared" si="64"/>
        <v>7.0796326794896558E-2</v>
      </c>
      <c r="F190" s="8">
        <f t="shared" si="64"/>
        <v>2.5913254101556871E-2</v>
      </c>
      <c r="G190" s="8">
        <f t="shared" si="64"/>
        <v>2.5913254101556649E-2</v>
      </c>
      <c r="H190" s="8">
        <f t="shared" si="64"/>
        <v>7.0796326794896558E-2</v>
      </c>
      <c r="I190" s="8" t="str">
        <f t="shared" si="64"/>
        <v/>
      </c>
      <c r="J190" s="8" t="str">
        <f t="shared" si="64"/>
        <v/>
      </c>
      <c r="K190" s="8" t="str">
        <f t="shared" si="64"/>
        <v/>
      </c>
      <c r="L190" s="8" t="str">
        <f t="shared" si="64"/>
        <v/>
      </c>
      <c r="M190" s="8" t="str">
        <f t="shared" si="64"/>
        <v/>
      </c>
      <c r="N190" s="8" t="str">
        <f t="shared" si="64"/>
        <v/>
      </c>
      <c r="O190" s="8" t="str">
        <f t="shared" si="64"/>
        <v/>
      </c>
      <c r="P190" s="8" t="str">
        <f t="shared" si="64"/>
        <v/>
      </c>
      <c r="Q190" s="8" t="str">
        <f t="shared" si="64"/>
        <v/>
      </c>
      <c r="R190" s="8" t="str">
        <f t="shared" si="64"/>
        <v/>
      </c>
      <c r="S190" s="8" t="str">
        <f t="shared" si="64"/>
        <v/>
      </c>
      <c r="T190" s="8" t="str">
        <f t="shared" si="64"/>
        <v/>
      </c>
      <c r="U190" s="8" t="str">
        <f t="shared" si="64"/>
        <v/>
      </c>
      <c r="V190" s="8" t="str">
        <f t="shared" si="64"/>
        <v/>
      </c>
      <c r="W190" s="8" t="str">
        <f t="shared" si="64"/>
        <v/>
      </c>
      <c r="X190" s="8" t="str">
        <f t="shared" si="64"/>
        <v/>
      </c>
    </row>
    <row r="191" spans="1:24" x14ac:dyDescent="0.25">
      <c r="A191" s="2">
        <v>3</v>
      </c>
      <c r="B191" s="4">
        <f>IF(3&lt;=N_3,(3-0.5)*dx_3,"")</f>
        <v>0.41666666666666663</v>
      </c>
      <c r="D191" s="8" t="str">
        <f t="shared" ref="D191:X191" si="65">IF(COUNT(D163)&lt;1,"",ABS(D163-(PI()*U0/L)*COS(PI()*D$187/L)*SIN(PI()*$B191/L)))</f>
        <v/>
      </c>
      <c r="E191" s="8">
        <f t="shared" si="65"/>
        <v>9.6709580896453762E-2</v>
      </c>
      <c r="F191" s="8">
        <f t="shared" si="65"/>
        <v>3.5398163397448168E-2</v>
      </c>
      <c r="G191" s="8">
        <f t="shared" si="65"/>
        <v>3.5398163397447502E-2</v>
      </c>
      <c r="H191" s="8">
        <f t="shared" si="65"/>
        <v>9.6709580896453762E-2</v>
      </c>
      <c r="I191" s="8" t="str">
        <f t="shared" si="65"/>
        <v/>
      </c>
      <c r="J191" s="8" t="str">
        <f t="shared" si="65"/>
        <v/>
      </c>
      <c r="K191" s="8" t="str">
        <f t="shared" si="65"/>
        <v/>
      </c>
      <c r="L191" s="8" t="str">
        <f t="shared" si="65"/>
        <v/>
      </c>
      <c r="M191" s="8" t="str">
        <f t="shared" si="65"/>
        <v/>
      </c>
      <c r="N191" s="8" t="str">
        <f t="shared" si="65"/>
        <v/>
      </c>
      <c r="O191" s="8" t="str">
        <f t="shared" si="65"/>
        <v/>
      </c>
      <c r="P191" s="8" t="str">
        <f t="shared" si="65"/>
        <v/>
      </c>
      <c r="Q191" s="8" t="str">
        <f t="shared" si="65"/>
        <v/>
      </c>
      <c r="R191" s="8" t="str">
        <f t="shared" si="65"/>
        <v/>
      </c>
      <c r="S191" s="8" t="str">
        <f t="shared" si="65"/>
        <v/>
      </c>
      <c r="T191" s="8" t="str">
        <f t="shared" si="65"/>
        <v/>
      </c>
      <c r="U191" s="8" t="str">
        <f t="shared" si="65"/>
        <v/>
      </c>
      <c r="V191" s="8" t="str">
        <f t="shared" si="65"/>
        <v/>
      </c>
      <c r="W191" s="8" t="str">
        <f t="shared" si="65"/>
        <v/>
      </c>
      <c r="X191" s="8" t="str">
        <f t="shared" si="65"/>
        <v/>
      </c>
    </row>
    <row r="192" spans="1:24" x14ac:dyDescent="0.25">
      <c r="A192" s="2">
        <v>4</v>
      </c>
      <c r="B192" s="4">
        <f>IF(4&lt;=N_3,(4-0.5)*dx_3,"")</f>
        <v>0.58333333333333326</v>
      </c>
      <c r="D192" s="8" t="str">
        <f t="shared" ref="D192:X192" si="66">IF(COUNT(D164)&lt;1,"",ABS(D164-(PI()*U0/L)*COS(PI()*D$187/L)*SIN(PI()*$B192/L)))</f>
        <v/>
      </c>
      <c r="E192" s="8">
        <f t="shared" si="66"/>
        <v>9.6709580896453318E-2</v>
      </c>
      <c r="F192" s="8">
        <f t="shared" si="66"/>
        <v>3.5398163397448279E-2</v>
      </c>
      <c r="G192" s="8">
        <f t="shared" si="66"/>
        <v>3.5398163397447724E-2</v>
      </c>
      <c r="H192" s="8">
        <f t="shared" si="66"/>
        <v>9.6709580896453318E-2</v>
      </c>
      <c r="I192" s="8" t="str">
        <f t="shared" si="66"/>
        <v/>
      </c>
      <c r="J192" s="8" t="str">
        <f t="shared" si="66"/>
        <v/>
      </c>
      <c r="K192" s="8" t="str">
        <f t="shared" si="66"/>
        <v/>
      </c>
      <c r="L192" s="8" t="str">
        <f t="shared" si="66"/>
        <v/>
      </c>
      <c r="M192" s="8" t="str">
        <f t="shared" si="66"/>
        <v/>
      </c>
      <c r="N192" s="8" t="str">
        <f t="shared" si="66"/>
        <v/>
      </c>
      <c r="O192" s="8" t="str">
        <f t="shared" si="66"/>
        <v/>
      </c>
      <c r="P192" s="8" t="str">
        <f t="shared" si="66"/>
        <v/>
      </c>
      <c r="Q192" s="8" t="str">
        <f t="shared" si="66"/>
        <v/>
      </c>
      <c r="R192" s="8" t="str">
        <f t="shared" si="66"/>
        <v/>
      </c>
      <c r="S192" s="8" t="str">
        <f t="shared" si="66"/>
        <v/>
      </c>
      <c r="T192" s="8" t="str">
        <f t="shared" si="66"/>
        <v/>
      </c>
      <c r="U192" s="8" t="str">
        <f t="shared" si="66"/>
        <v/>
      </c>
      <c r="V192" s="8" t="str">
        <f t="shared" si="66"/>
        <v/>
      </c>
      <c r="W192" s="8" t="str">
        <f t="shared" si="66"/>
        <v/>
      </c>
      <c r="X192" s="8" t="str">
        <f t="shared" si="66"/>
        <v/>
      </c>
    </row>
    <row r="193" spans="1:24" x14ac:dyDescent="0.25">
      <c r="A193" s="2">
        <v>5</v>
      </c>
      <c r="B193" s="4">
        <f>IF(5&lt;=N_3,(5-0.5)*dx_3,"")</f>
        <v>0.75</v>
      </c>
      <c r="D193" s="8" t="str">
        <f t="shared" ref="D193:X193" si="67">IF(COUNT(D165)&lt;1,"",ABS(D165-(PI()*U0/L)*COS(PI()*D$187/L)*SIN(PI()*$B193/L)))</f>
        <v/>
      </c>
      <c r="E193" s="8">
        <f t="shared" si="67"/>
        <v>7.079632679489678E-2</v>
      </c>
      <c r="F193" s="8">
        <f t="shared" si="67"/>
        <v>2.5913254101556982E-2</v>
      </c>
      <c r="G193" s="8">
        <f t="shared" si="67"/>
        <v>2.591325410155676E-2</v>
      </c>
      <c r="H193" s="8">
        <f t="shared" si="67"/>
        <v>7.079632679489678E-2</v>
      </c>
      <c r="I193" s="8" t="str">
        <f t="shared" si="67"/>
        <v/>
      </c>
      <c r="J193" s="8" t="str">
        <f t="shared" si="67"/>
        <v/>
      </c>
      <c r="K193" s="8" t="str">
        <f t="shared" si="67"/>
        <v/>
      </c>
      <c r="L193" s="8" t="str">
        <f t="shared" si="67"/>
        <v/>
      </c>
      <c r="M193" s="8" t="str">
        <f t="shared" si="67"/>
        <v/>
      </c>
      <c r="N193" s="8" t="str">
        <f t="shared" si="67"/>
        <v/>
      </c>
      <c r="O193" s="8" t="str">
        <f t="shared" si="67"/>
        <v/>
      </c>
      <c r="P193" s="8" t="str">
        <f t="shared" si="67"/>
        <v/>
      </c>
      <c r="Q193" s="8" t="str">
        <f t="shared" si="67"/>
        <v/>
      </c>
      <c r="R193" s="8" t="str">
        <f t="shared" si="67"/>
        <v/>
      </c>
      <c r="S193" s="8" t="str">
        <f t="shared" si="67"/>
        <v/>
      </c>
      <c r="T193" s="8" t="str">
        <f t="shared" si="67"/>
        <v/>
      </c>
      <c r="U193" s="8" t="str">
        <f t="shared" si="67"/>
        <v/>
      </c>
      <c r="V193" s="8" t="str">
        <f t="shared" si="67"/>
        <v/>
      </c>
      <c r="W193" s="8" t="str">
        <f t="shared" si="67"/>
        <v/>
      </c>
      <c r="X193" s="8" t="str">
        <f t="shared" si="67"/>
        <v/>
      </c>
    </row>
    <row r="194" spans="1:24" x14ac:dyDescent="0.25">
      <c r="A194" s="2">
        <v>6</v>
      </c>
      <c r="B194" s="4">
        <f>IF(6&lt;=N_3,(6-0.5)*dx_3,"")</f>
        <v>0.91666666666666663</v>
      </c>
      <c r="D194" s="8" t="str">
        <f t="shared" ref="D194:X194" si="68">IF(COUNT(D166)&lt;1,"",ABS(D166-(PI()*U0/L)*COS(PI()*D$187/L)*SIN(PI()*$B194/L)))</f>
        <v/>
      </c>
      <c r="E194" s="8" t="str">
        <f t="shared" si="68"/>
        <v/>
      </c>
      <c r="F194" s="8" t="str">
        <f t="shared" si="68"/>
        <v/>
      </c>
      <c r="G194" s="8" t="str">
        <f t="shared" si="68"/>
        <v/>
      </c>
      <c r="H194" s="8" t="str">
        <f t="shared" si="68"/>
        <v/>
      </c>
      <c r="I194" s="8" t="str">
        <f t="shared" si="68"/>
        <v/>
      </c>
      <c r="J194" s="8" t="str">
        <f t="shared" si="68"/>
        <v/>
      </c>
      <c r="K194" s="8" t="str">
        <f t="shared" si="68"/>
        <v/>
      </c>
      <c r="L194" s="8" t="str">
        <f t="shared" si="68"/>
        <v/>
      </c>
      <c r="M194" s="8" t="str">
        <f t="shared" si="68"/>
        <v/>
      </c>
      <c r="N194" s="8" t="str">
        <f t="shared" si="68"/>
        <v/>
      </c>
      <c r="O194" s="8" t="str">
        <f t="shared" si="68"/>
        <v/>
      </c>
      <c r="P194" s="8" t="str">
        <f t="shared" si="68"/>
        <v/>
      </c>
      <c r="Q194" s="8" t="str">
        <f t="shared" si="68"/>
        <v/>
      </c>
      <c r="R194" s="8" t="str">
        <f t="shared" si="68"/>
        <v/>
      </c>
      <c r="S194" s="8" t="str">
        <f t="shared" si="68"/>
        <v/>
      </c>
      <c r="T194" s="8" t="str">
        <f t="shared" si="68"/>
        <v/>
      </c>
      <c r="U194" s="8" t="str">
        <f t="shared" si="68"/>
        <v/>
      </c>
      <c r="V194" s="8" t="str">
        <f t="shared" si="68"/>
        <v/>
      </c>
      <c r="W194" s="8" t="str">
        <f t="shared" si="68"/>
        <v/>
      </c>
      <c r="X194" s="8" t="str">
        <f t="shared" si="68"/>
        <v/>
      </c>
    </row>
    <row r="195" spans="1:24" x14ac:dyDescent="0.25">
      <c r="A195" s="2">
        <v>7</v>
      </c>
      <c r="B195" s="4" t="str">
        <f>IF(7&lt;=N_3,(7-0.5)*dx_3,"")</f>
        <v/>
      </c>
      <c r="D195" s="8" t="str">
        <f t="shared" ref="D195:X195" si="69">IF(COUNT(D167)&lt;1,"",ABS(D167-(PI()*U0/L)*COS(PI()*D$187/L)*SIN(PI()*$B195/L)))</f>
        <v/>
      </c>
      <c r="E195" s="8" t="str">
        <f t="shared" si="69"/>
        <v/>
      </c>
      <c r="F195" s="8" t="str">
        <f t="shared" si="69"/>
        <v/>
      </c>
      <c r="G195" s="8" t="str">
        <f t="shared" si="69"/>
        <v/>
      </c>
      <c r="H195" s="8" t="str">
        <f t="shared" si="69"/>
        <v/>
      </c>
      <c r="I195" s="8" t="str">
        <f t="shared" si="69"/>
        <v/>
      </c>
      <c r="J195" s="8" t="str">
        <f t="shared" si="69"/>
        <v/>
      </c>
      <c r="K195" s="8" t="str">
        <f t="shared" si="69"/>
        <v/>
      </c>
      <c r="L195" s="8" t="str">
        <f t="shared" si="69"/>
        <v/>
      </c>
      <c r="M195" s="8" t="str">
        <f t="shared" si="69"/>
        <v/>
      </c>
      <c r="N195" s="8" t="str">
        <f t="shared" si="69"/>
        <v/>
      </c>
      <c r="O195" s="8" t="str">
        <f t="shared" si="69"/>
        <v/>
      </c>
      <c r="P195" s="8" t="str">
        <f t="shared" si="69"/>
        <v/>
      </c>
      <c r="Q195" s="8" t="str">
        <f t="shared" si="69"/>
        <v/>
      </c>
      <c r="R195" s="8" t="str">
        <f t="shared" si="69"/>
        <v/>
      </c>
      <c r="S195" s="8" t="str">
        <f t="shared" si="69"/>
        <v/>
      </c>
      <c r="T195" s="8" t="str">
        <f t="shared" si="69"/>
        <v/>
      </c>
      <c r="U195" s="8" t="str">
        <f t="shared" si="69"/>
        <v/>
      </c>
      <c r="V195" s="8" t="str">
        <f t="shared" si="69"/>
        <v/>
      </c>
      <c r="W195" s="8" t="str">
        <f t="shared" si="69"/>
        <v/>
      </c>
      <c r="X195" s="8" t="str">
        <f t="shared" si="69"/>
        <v/>
      </c>
    </row>
    <row r="196" spans="1:24" x14ac:dyDescent="0.25">
      <c r="A196" s="2">
        <v>8</v>
      </c>
      <c r="B196" s="4" t="str">
        <f>IF(8&lt;=N_3,(8-0.5)*dx_3,"")</f>
        <v/>
      </c>
      <c r="D196" s="8" t="str">
        <f t="shared" ref="D196:X196" si="70">IF(COUNT(D168)&lt;1,"",ABS(D168-(PI()*U0/L)*COS(PI()*D$187/L)*SIN(PI()*$B196/L)))</f>
        <v/>
      </c>
      <c r="E196" s="8" t="str">
        <f t="shared" si="70"/>
        <v/>
      </c>
      <c r="F196" s="8" t="str">
        <f t="shared" si="70"/>
        <v/>
      </c>
      <c r="G196" s="8" t="str">
        <f t="shared" si="70"/>
        <v/>
      </c>
      <c r="H196" s="8" t="str">
        <f t="shared" si="70"/>
        <v/>
      </c>
      <c r="I196" s="8" t="str">
        <f t="shared" si="70"/>
        <v/>
      </c>
      <c r="J196" s="8" t="str">
        <f t="shared" si="70"/>
        <v/>
      </c>
      <c r="K196" s="8" t="str">
        <f t="shared" si="70"/>
        <v/>
      </c>
      <c r="L196" s="8" t="str">
        <f t="shared" si="70"/>
        <v/>
      </c>
      <c r="M196" s="8" t="str">
        <f t="shared" si="70"/>
        <v/>
      </c>
      <c r="N196" s="8" t="str">
        <f t="shared" si="70"/>
        <v/>
      </c>
      <c r="O196" s="8" t="str">
        <f t="shared" si="70"/>
        <v/>
      </c>
      <c r="P196" s="8" t="str">
        <f t="shared" si="70"/>
        <v/>
      </c>
      <c r="Q196" s="8" t="str">
        <f t="shared" si="70"/>
        <v/>
      </c>
      <c r="R196" s="8" t="str">
        <f t="shared" si="70"/>
        <v/>
      </c>
      <c r="S196" s="8" t="str">
        <f t="shared" si="70"/>
        <v/>
      </c>
      <c r="T196" s="8" t="str">
        <f t="shared" si="70"/>
        <v/>
      </c>
      <c r="U196" s="8" t="str">
        <f t="shared" si="70"/>
        <v/>
      </c>
      <c r="V196" s="8" t="str">
        <f t="shared" si="70"/>
        <v/>
      </c>
      <c r="W196" s="8" t="str">
        <f t="shared" si="70"/>
        <v/>
      </c>
      <c r="X196" s="8" t="str">
        <f t="shared" si="70"/>
        <v/>
      </c>
    </row>
    <row r="197" spans="1:24" x14ac:dyDescent="0.25">
      <c r="A197" s="2">
        <v>9</v>
      </c>
      <c r="B197" s="4" t="str">
        <f>IF(9&lt;=N_3,(9-0.5)*dx_3,"")</f>
        <v/>
      </c>
      <c r="D197" s="8" t="str">
        <f t="shared" ref="D197:X197" si="71">IF(COUNT(D169)&lt;1,"",ABS(D169-(PI()*U0/L)*COS(PI()*D$187/L)*SIN(PI()*$B197/L)))</f>
        <v/>
      </c>
      <c r="E197" s="8" t="str">
        <f t="shared" si="71"/>
        <v/>
      </c>
      <c r="F197" s="8" t="str">
        <f t="shared" si="71"/>
        <v/>
      </c>
      <c r="G197" s="8" t="str">
        <f t="shared" si="71"/>
        <v/>
      </c>
      <c r="H197" s="8" t="str">
        <f t="shared" si="71"/>
        <v/>
      </c>
      <c r="I197" s="8" t="str">
        <f t="shared" si="71"/>
        <v/>
      </c>
      <c r="J197" s="8" t="str">
        <f t="shared" si="71"/>
        <v/>
      </c>
      <c r="K197" s="8" t="str">
        <f t="shared" si="71"/>
        <v/>
      </c>
      <c r="L197" s="8" t="str">
        <f t="shared" si="71"/>
        <v/>
      </c>
      <c r="M197" s="8" t="str">
        <f t="shared" si="71"/>
        <v/>
      </c>
      <c r="N197" s="8" t="str">
        <f t="shared" si="71"/>
        <v/>
      </c>
      <c r="O197" s="8" t="str">
        <f t="shared" si="71"/>
        <v/>
      </c>
      <c r="P197" s="8" t="str">
        <f t="shared" si="71"/>
        <v/>
      </c>
      <c r="Q197" s="8" t="str">
        <f t="shared" si="71"/>
        <v/>
      </c>
      <c r="R197" s="8" t="str">
        <f t="shared" si="71"/>
        <v/>
      </c>
      <c r="S197" s="8" t="str">
        <f t="shared" si="71"/>
        <v/>
      </c>
      <c r="T197" s="8" t="str">
        <f t="shared" si="71"/>
        <v/>
      </c>
      <c r="U197" s="8" t="str">
        <f t="shared" si="71"/>
        <v/>
      </c>
      <c r="V197" s="8" t="str">
        <f t="shared" si="71"/>
        <v/>
      </c>
      <c r="W197" s="8" t="str">
        <f t="shared" si="71"/>
        <v/>
      </c>
      <c r="X197" s="8" t="str">
        <f t="shared" si="71"/>
        <v/>
      </c>
    </row>
    <row r="198" spans="1:24" x14ac:dyDescent="0.25">
      <c r="A198" s="2">
        <v>10</v>
      </c>
      <c r="B198" s="4" t="str">
        <f>IF(10&lt;=N_3,(10-0.5)*dx_3,"")</f>
        <v/>
      </c>
      <c r="D198" s="8" t="str">
        <f t="shared" ref="D198:X198" si="72">IF(COUNT(D170)&lt;1,"",ABS(D170-(PI()*U0/L)*COS(PI()*D$187/L)*SIN(PI()*$B198/L)))</f>
        <v/>
      </c>
      <c r="E198" s="8" t="str">
        <f t="shared" si="72"/>
        <v/>
      </c>
      <c r="F198" s="8" t="str">
        <f t="shared" si="72"/>
        <v/>
      </c>
      <c r="G198" s="8" t="str">
        <f t="shared" si="72"/>
        <v/>
      </c>
      <c r="H198" s="8" t="str">
        <f t="shared" si="72"/>
        <v/>
      </c>
      <c r="I198" s="8" t="str">
        <f t="shared" si="72"/>
        <v/>
      </c>
      <c r="J198" s="8" t="str">
        <f t="shared" si="72"/>
        <v/>
      </c>
      <c r="K198" s="8" t="str">
        <f t="shared" si="72"/>
        <v/>
      </c>
      <c r="L198" s="8" t="str">
        <f t="shared" si="72"/>
        <v/>
      </c>
      <c r="M198" s="8" t="str">
        <f t="shared" si="72"/>
        <v/>
      </c>
      <c r="N198" s="8" t="str">
        <f t="shared" si="72"/>
        <v/>
      </c>
      <c r="O198" s="8" t="str">
        <f t="shared" si="72"/>
        <v/>
      </c>
      <c r="P198" s="8" t="str">
        <f t="shared" si="72"/>
        <v/>
      </c>
      <c r="Q198" s="8" t="str">
        <f t="shared" si="72"/>
        <v/>
      </c>
      <c r="R198" s="8" t="str">
        <f t="shared" si="72"/>
        <v/>
      </c>
      <c r="S198" s="8" t="str">
        <f t="shared" si="72"/>
        <v/>
      </c>
      <c r="T198" s="8" t="str">
        <f t="shared" si="72"/>
        <v/>
      </c>
      <c r="U198" s="8" t="str">
        <f t="shared" si="72"/>
        <v/>
      </c>
      <c r="V198" s="8" t="str">
        <f t="shared" si="72"/>
        <v/>
      </c>
      <c r="W198" s="8" t="str">
        <f t="shared" si="72"/>
        <v/>
      </c>
      <c r="X198" s="8" t="str">
        <f t="shared" si="72"/>
        <v/>
      </c>
    </row>
    <row r="199" spans="1:24" x14ac:dyDescent="0.25">
      <c r="A199" s="2">
        <v>11</v>
      </c>
      <c r="B199" s="4" t="str">
        <f>IF(11&lt;=N_3,(11-0.5)*dx_3,"")</f>
        <v/>
      </c>
      <c r="D199" s="8" t="str">
        <f t="shared" ref="D199:X199" si="73">IF(COUNT(D171)&lt;1,"",ABS(D171-(PI()*U0/L)*COS(PI()*D$187/L)*SIN(PI()*$B199/L)))</f>
        <v/>
      </c>
      <c r="E199" s="8" t="str">
        <f t="shared" si="73"/>
        <v/>
      </c>
      <c r="F199" s="8" t="str">
        <f t="shared" si="73"/>
        <v/>
      </c>
      <c r="G199" s="8" t="str">
        <f t="shared" si="73"/>
        <v/>
      </c>
      <c r="H199" s="8" t="str">
        <f t="shared" si="73"/>
        <v/>
      </c>
      <c r="I199" s="8" t="str">
        <f t="shared" si="73"/>
        <v/>
      </c>
      <c r="J199" s="8" t="str">
        <f t="shared" si="73"/>
        <v/>
      </c>
      <c r="K199" s="8" t="str">
        <f t="shared" si="73"/>
        <v/>
      </c>
      <c r="L199" s="8" t="str">
        <f t="shared" si="73"/>
        <v/>
      </c>
      <c r="M199" s="8" t="str">
        <f t="shared" si="73"/>
        <v/>
      </c>
      <c r="N199" s="8" t="str">
        <f t="shared" si="73"/>
        <v/>
      </c>
      <c r="O199" s="8" t="str">
        <f t="shared" si="73"/>
        <v/>
      </c>
      <c r="P199" s="8" t="str">
        <f t="shared" si="73"/>
        <v/>
      </c>
      <c r="Q199" s="8" t="str">
        <f t="shared" si="73"/>
        <v/>
      </c>
      <c r="R199" s="8" t="str">
        <f t="shared" si="73"/>
        <v/>
      </c>
      <c r="S199" s="8" t="str">
        <f t="shared" si="73"/>
        <v/>
      </c>
      <c r="T199" s="8" t="str">
        <f t="shared" si="73"/>
        <v/>
      </c>
      <c r="U199" s="8" t="str">
        <f t="shared" si="73"/>
        <v/>
      </c>
      <c r="V199" s="8" t="str">
        <f t="shared" si="73"/>
        <v/>
      </c>
      <c r="W199" s="8" t="str">
        <f t="shared" si="73"/>
        <v/>
      </c>
      <c r="X199" s="8" t="str">
        <f t="shared" si="73"/>
        <v/>
      </c>
    </row>
    <row r="200" spans="1:24" x14ac:dyDescent="0.25">
      <c r="A200" s="2">
        <v>12</v>
      </c>
      <c r="B200" s="4" t="str">
        <f>IF(12&lt;=N_3,(12-0.5)*dx_3,"")</f>
        <v/>
      </c>
      <c r="D200" s="8" t="str">
        <f t="shared" ref="D200:X200" si="74">IF(COUNT(D172)&lt;1,"",ABS(D172-(PI()*U0/L)*COS(PI()*D$187/L)*SIN(PI()*$B200/L)))</f>
        <v/>
      </c>
      <c r="E200" s="8" t="str">
        <f t="shared" si="74"/>
        <v/>
      </c>
      <c r="F200" s="8" t="str">
        <f t="shared" si="74"/>
        <v/>
      </c>
      <c r="G200" s="8" t="str">
        <f t="shared" si="74"/>
        <v/>
      </c>
      <c r="H200" s="8" t="str">
        <f t="shared" si="74"/>
        <v/>
      </c>
      <c r="I200" s="8" t="str">
        <f t="shared" si="74"/>
        <v/>
      </c>
      <c r="J200" s="8" t="str">
        <f t="shared" si="74"/>
        <v/>
      </c>
      <c r="K200" s="8" t="str">
        <f t="shared" si="74"/>
        <v/>
      </c>
      <c r="L200" s="8" t="str">
        <f t="shared" si="74"/>
        <v/>
      </c>
      <c r="M200" s="8" t="str">
        <f t="shared" si="74"/>
        <v/>
      </c>
      <c r="N200" s="8" t="str">
        <f t="shared" si="74"/>
        <v/>
      </c>
      <c r="O200" s="8" t="str">
        <f t="shared" si="74"/>
        <v/>
      </c>
      <c r="P200" s="8" t="str">
        <f t="shared" si="74"/>
        <v/>
      </c>
      <c r="Q200" s="8" t="str">
        <f t="shared" si="74"/>
        <v/>
      </c>
      <c r="R200" s="8" t="str">
        <f t="shared" si="74"/>
        <v/>
      </c>
      <c r="S200" s="8" t="str">
        <f t="shared" si="74"/>
        <v/>
      </c>
      <c r="T200" s="8" t="str">
        <f t="shared" si="74"/>
        <v/>
      </c>
      <c r="U200" s="8" t="str">
        <f t="shared" si="74"/>
        <v/>
      </c>
      <c r="V200" s="8" t="str">
        <f t="shared" si="74"/>
        <v/>
      </c>
      <c r="W200" s="8" t="str">
        <f t="shared" si="74"/>
        <v/>
      </c>
      <c r="X200" s="8" t="str">
        <f t="shared" si="74"/>
        <v/>
      </c>
    </row>
    <row r="201" spans="1:24" x14ac:dyDescent="0.25">
      <c r="A201" s="2">
        <v>13</v>
      </c>
      <c r="B201" s="4" t="str">
        <f>IF(13&lt;=N_3,(13-0.5)*dx_3,"")</f>
        <v/>
      </c>
      <c r="D201" s="8" t="str">
        <f t="shared" ref="D201:X201" si="75">IF(COUNT(D173)&lt;1,"",ABS(D173-(PI()*U0/L)*COS(PI()*D$187/L)*SIN(PI()*$B201/L)))</f>
        <v/>
      </c>
      <c r="E201" s="8" t="str">
        <f t="shared" si="75"/>
        <v/>
      </c>
      <c r="F201" s="8" t="str">
        <f t="shared" si="75"/>
        <v/>
      </c>
      <c r="G201" s="8" t="str">
        <f t="shared" si="75"/>
        <v/>
      </c>
      <c r="H201" s="8" t="str">
        <f t="shared" si="75"/>
        <v/>
      </c>
      <c r="I201" s="8" t="str">
        <f t="shared" si="75"/>
        <v/>
      </c>
      <c r="J201" s="8" t="str">
        <f t="shared" si="75"/>
        <v/>
      </c>
      <c r="K201" s="8" t="str">
        <f t="shared" si="75"/>
        <v/>
      </c>
      <c r="L201" s="8" t="str">
        <f t="shared" si="75"/>
        <v/>
      </c>
      <c r="M201" s="8" t="str">
        <f t="shared" si="75"/>
        <v/>
      </c>
      <c r="N201" s="8" t="str">
        <f t="shared" si="75"/>
        <v/>
      </c>
      <c r="O201" s="8" t="str">
        <f t="shared" si="75"/>
        <v/>
      </c>
      <c r="P201" s="8" t="str">
        <f t="shared" si="75"/>
        <v/>
      </c>
      <c r="Q201" s="8" t="str">
        <f t="shared" si="75"/>
        <v/>
      </c>
      <c r="R201" s="8" t="str">
        <f t="shared" si="75"/>
        <v/>
      </c>
      <c r="S201" s="8" t="str">
        <f t="shared" si="75"/>
        <v/>
      </c>
      <c r="T201" s="8" t="str">
        <f t="shared" si="75"/>
        <v/>
      </c>
      <c r="U201" s="8" t="str">
        <f t="shared" si="75"/>
        <v/>
      </c>
      <c r="V201" s="8" t="str">
        <f t="shared" si="75"/>
        <v/>
      </c>
      <c r="W201" s="8" t="str">
        <f t="shared" si="75"/>
        <v/>
      </c>
      <c r="X201" s="8" t="str">
        <f t="shared" si="75"/>
        <v/>
      </c>
    </row>
    <row r="202" spans="1:24" x14ac:dyDescent="0.25">
      <c r="A202" s="2">
        <v>14</v>
      </c>
      <c r="B202" s="4" t="str">
        <f>IF(14&lt;=N_3,(14-0.5)*dx_3,"")</f>
        <v/>
      </c>
      <c r="D202" s="8" t="str">
        <f t="shared" ref="D202:X202" si="76">IF(COUNT(D174)&lt;1,"",ABS(D174-(PI()*U0/L)*COS(PI()*D$187/L)*SIN(PI()*$B202/L)))</f>
        <v/>
      </c>
      <c r="E202" s="8" t="str">
        <f t="shared" si="76"/>
        <v/>
      </c>
      <c r="F202" s="8" t="str">
        <f t="shared" si="76"/>
        <v/>
      </c>
      <c r="G202" s="8" t="str">
        <f t="shared" si="76"/>
        <v/>
      </c>
      <c r="H202" s="8" t="str">
        <f t="shared" si="76"/>
        <v/>
      </c>
      <c r="I202" s="8" t="str">
        <f t="shared" si="76"/>
        <v/>
      </c>
      <c r="J202" s="8" t="str">
        <f t="shared" si="76"/>
        <v/>
      </c>
      <c r="K202" s="8" t="str">
        <f t="shared" si="76"/>
        <v/>
      </c>
      <c r="L202" s="8" t="str">
        <f t="shared" si="76"/>
        <v/>
      </c>
      <c r="M202" s="8" t="str">
        <f t="shared" si="76"/>
        <v/>
      </c>
      <c r="N202" s="8" t="str">
        <f t="shared" si="76"/>
        <v/>
      </c>
      <c r="O202" s="8" t="str">
        <f t="shared" si="76"/>
        <v/>
      </c>
      <c r="P202" s="8" t="str">
        <f t="shared" si="76"/>
        <v/>
      </c>
      <c r="Q202" s="8" t="str">
        <f t="shared" si="76"/>
        <v/>
      </c>
      <c r="R202" s="8" t="str">
        <f t="shared" si="76"/>
        <v/>
      </c>
      <c r="S202" s="8" t="str">
        <f t="shared" si="76"/>
        <v/>
      </c>
      <c r="T202" s="8" t="str">
        <f t="shared" si="76"/>
        <v/>
      </c>
      <c r="U202" s="8" t="str">
        <f t="shared" si="76"/>
        <v/>
      </c>
      <c r="V202" s="8" t="str">
        <f t="shared" si="76"/>
        <v/>
      </c>
      <c r="W202" s="8" t="str">
        <f t="shared" si="76"/>
        <v/>
      </c>
      <c r="X202" s="8" t="str">
        <f t="shared" si="76"/>
        <v/>
      </c>
    </row>
    <row r="203" spans="1:24" x14ac:dyDescent="0.25">
      <c r="A203" s="2">
        <v>15</v>
      </c>
      <c r="B203" s="4" t="str">
        <f>IF(15&lt;=N_3,(15-0.5)*dx_3,"")</f>
        <v/>
      </c>
      <c r="D203" s="8" t="str">
        <f t="shared" ref="D203:X203" si="77">IF(COUNT(D175)&lt;1,"",ABS(D175-(PI()*U0/L)*COS(PI()*D$187/L)*SIN(PI()*$B203/L)))</f>
        <v/>
      </c>
      <c r="E203" s="8" t="str">
        <f t="shared" si="77"/>
        <v/>
      </c>
      <c r="F203" s="8" t="str">
        <f t="shared" si="77"/>
        <v/>
      </c>
      <c r="G203" s="8" t="str">
        <f t="shared" si="77"/>
        <v/>
      </c>
      <c r="H203" s="8" t="str">
        <f t="shared" si="77"/>
        <v/>
      </c>
      <c r="I203" s="8" t="str">
        <f t="shared" si="77"/>
        <v/>
      </c>
      <c r="J203" s="8" t="str">
        <f t="shared" si="77"/>
        <v/>
      </c>
      <c r="K203" s="8" t="str">
        <f t="shared" si="77"/>
        <v/>
      </c>
      <c r="L203" s="8" t="str">
        <f t="shared" si="77"/>
        <v/>
      </c>
      <c r="M203" s="8" t="str">
        <f t="shared" si="77"/>
        <v/>
      </c>
      <c r="N203" s="8" t="str">
        <f t="shared" si="77"/>
        <v/>
      </c>
      <c r="O203" s="8" t="str">
        <f t="shared" si="77"/>
        <v/>
      </c>
      <c r="P203" s="8" t="str">
        <f t="shared" si="77"/>
        <v/>
      </c>
      <c r="Q203" s="8" t="str">
        <f t="shared" si="77"/>
        <v/>
      </c>
      <c r="R203" s="8" t="str">
        <f t="shared" si="77"/>
        <v/>
      </c>
      <c r="S203" s="8" t="str">
        <f t="shared" si="77"/>
        <v/>
      </c>
      <c r="T203" s="8" t="str">
        <f t="shared" si="77"/>
        <v/>
      </c>
      <c r="U203" s="8" t="str">
        <f t="shared" si="77"/>
        <v/>
      </c>
      <c r="V203" s="8" t="str">
        <f t="shared" si="77"/>
        <v/>
      </c>
      <c r="W203" s="8" t="str">
        <f t="shared" si="77"/>
        <v/>
      </c>
      <c r="X203" s="8" t="str">
        <f t="shared" si="77"/>
        <v/>
      </c>
    </row>
    <row r="204" spans="1:24" x14ac:dyDescent="0.25">
      <c r="A204" s="2">
        <v>16</v>
      </c>
      <c r="B204" s="4" t="str">
        <f>IF(16&lt;=N_3,(16-0.5)*dx_3,"")</f>
        <v/>
      </c>
      <c r="D204" s="8" t="str">
        <f t="shared" ref="D204:X204" si="78">IF(COUNT(D176)&lt;1,"",ABS(D176-(PI()*U0/L)*COS(PI()*D$187/L)*SIN(PI()*$B204/L)))</f>
        <v/>
      </c>
      <c r="E204" s="8" t="str">
        <f t="shared" si="78"/>
        <v/>
      </c>
      <c r="F204" s="8" t="str">
        <f t="shared" si="78"/>
        <v/>
      </c>
      <c r="G204" s="8" t="str">
        <f t="shared" si="78"/>
        <v/>
      </c>
      <c r="H204" s="8" t="str">
        <f t="shared" si="78"/>
        <v/>
      </c>
      <c r="I204" s="8" t="str">
        <f t="shared" si="78"/>
        <v/>
      </c>
      <c r="J204" s="8" t="str">
        <f t="shared" si="78"/>
        <v/>
      </c>
      <c r="K204" s="8" t="str">
        <f t="shared" si="78"/>
        <v/>
      </c>
      <c r="L204" s="8" t="str">
        <f t="shared" si="78"/>
        <v/>
      </c>
      <c r="M204" s="8" t="str">
        <f t="shared" si="78"/>
        <v/>
      </c>
      <c r="N204" s="8" t="str">
        <f t="shared" si="78"/>
        <v/>
      </c>
      <c r="O204" s="8" t="str">
        <f t="shared" si="78"/>
        <v/>
      </c>
      <c r="P204" s="8" t="str">
        <f t="shared" si="78"/>
        <v/>
      </c>
      <c r="Q204" s="8" t="str">
        <f t="shared" si="78"/>
        <v/>
      </c>
      <c r="R204" s="8" t="str">
        <f t="shared" si="78"/>
        <v/>
      </c>
      <c r="S204" s="8" t="str">
        <f t="shared" si="78"/>
        <v/>
      </c>
      <c r="T204" s="8" t="str">
        <f t="shared" si="78"/>
        <v/>
      </c>
      <c r="U204" s="8" t="str">
        <f t="shared" si="78"/>
        <v/>
      </c>
      <c r="V204" s="8" t="str">
        <f t="shared" si="78"/>
        <v/>
      </c>
      <c r="W204" s="8" t="str">
        <f t="shared" si="78"/>
        <v/>
      </c>
      <c r="X204" s="8" t="str">
        <f t="shared" si="78"/>
        <v/>
      </c>
    </row>
    <row r="205" spans="1:24" x14ac:dyDescent="0.25">
      <c r="A205" s="2">
        <v>17</v>
      </c>
      <c r="B205" s="4" t="str">
        <f>IF(17&lt;=N_3,(17-0.5)*dx_3,"")</f>
        <v/>
      </c>
      <c r="D205" s="8" t="str">
        <f t="shared" ref="D205:X205" si="79">IF(COUNT(D177)&lt;1,"",ABS(D177-(PI()*U0/L)*COS(PI()*D$187/L)*SIN(PI()*$B205/L)))</f>
        <v/>
      </c>
      <c r="E205" s="8" t="str">
        <f t="shared" si="79"/>
        <v/>
      </c>
      <c r="F205" s="8" t="str">
        <f t="shared" si="79"/>
        <v/>
      </c>
      <c r="G205" s="8" t="str">
        <f t="shared" si="79"/>
        <v/>
      </c>
      <c r="H205" s="8" t="str">
        <f t="shared" si="79"/>
        <v/>
      </c>
      <c r="I205" s="8" t="str">
        <f t="shared" si="79"/>
        <v/>
      </c>
      <c r="J205" s="8" t="str">
        <f t="shared" si="79"/>
        <v/>
      </c>
      <c r="K205" s="8" t="str">
        <f t="shared" si="79"/>
        <v/>
      </c>
      <c r="L205" s="8" t="str">
        <f t="shared" si="79"/>
        <v/>
      </c>
      <c r="M205" s="8" t="str">
        <f t="shared" si="79"/>
        <v/>
      </c>
      <c r="N205" s="8" t="str">
        <f t="shared" si="79"/>
        <v/>
      </c>
      <c r="O205" s="8" t="str">
        <f t="shared" si="79"/>
        <v/>
      </c>
      <c r="P205" s="8" t="str">
        <f t="shared" si="79"/>
        <v/>
      </c>
      <c r="Q205" s="8" t="str">
        <f t="shared" si="79"/>
        <v/>
      </c>
      <c r="R205" s="8" t="str">
        <f t="shared" si="79"/>
        <v/>
      </c>
      <c r="S205" s="8" t="str">
        <f t="shared" si="79"/>
        <v/>
      </c>
      <c r="T205" s="8" t="str">
        <f t="shared" si="79"/>
        <v/>
      </c>
      <c r="U205" s="8" t="str">
        <f t="shared" si="79"/>
        <v/>
      </c>
      <c r="V205" s="8" t="str">
        <f t="shared" si="79"/>
        <v/>
      </c>
      <c r="W205" s="8" t="str">
        <f t="shared" si="79"/>
        <v/>
      </c>
      <c r="X205" s="8" t="str">
        <f t="shared" si="79"/>
        <v/>
      </c>
    </row>
    <row r="206" spans="1:24" x14ac:dyDescent="0.25">
      <c r="A206" s="2">
        <v>18</v>
      </c>
      <c r="B206" s="4" t="str">
        <f>IF(18&lt;=N_3,(18-0.5)*dx_3,"")</f>
        <v/>
      </c>
      <c r="D206" s="8" t="str">
        <f t="shared" ref="D206:X206" si="80">IF(COUNT(D178)&lt;1,"",ABS(D178-(PI()*U0/L)*COS(PI()*D$187/L)*SIN(PI()*$B206/L)))</f>
        <v/>
      </c>
      <c r="E206" s="8" t="str">
        <f t="shared" si="80"/>
        <v/>
      </c>
      <c r="F206" s="8" t="str">
        <f t="shared" si="80"/>
        <v/>
      </c>
      <c r="G206" s="8" t="str">
        <f t="shared" si="80"/>
        <v/>
      </c>
      <c r="H206" s="8" t="str">
        <f t="shared" si="80"/>
        <v/>
      </c>
      <c r="I206" s="8" t="str">
        <f t="shared" si="80"/>
        <v/>
      </c>
      <c r="J206" s="8" t="str">
        <f t="shared" si="80"/>
        <v/>
      </c>
      <c r="K206" s="8" t="str">
        <f t="shared" si="80"/>
        <v/>
      </c>
      <c r="L206" s="8" t="str">
        <f t="shared" si="80"/>
        <v/>
      </c>
      <c r="M206" s="8" t="str">
        <f t="shared" si="80"/>
        <v/>
      </c>
      <c r="N206" s="8" t="str">
        <f t="shared" si="80"/>
        <v/>
      </c>
      <c r="O206" s="8" t="str">
        <f t="shared" si="80"/>
        <v/>
      </c>
      <c r="P206" s="8" t="str">
        <f t="shared" si="80"/>
        <v/>
      </c>
      <c r="Q206" s="8" t="str">
        <f t="shared" si="80"/>
        <v/>
      </c>
      <c r="R206" s="8" t="str">
        <f t="shared" si="80"/>
        <v/>
      </c>
      <c r="S206" s="8" t="str">
        <f t="shared" si="80"/>
        <v/>
      </c>
      <c r="T206" s="8" t="str">
        <f t="shared" si="80"/>
        <v/>
      </c>
      <c r="U206" s="8" t="str">
        <f t="shared" si="80"/>
        <v/>
      </c>
      <c r="V206" s="8" t="str">
        <f t="shared" si="80"/>
        <v/>
      </c>
      <c r="W206" s="8" t="str">
        <f t="shared" si="80"/>
        <v/>
      </c>
      <c r="X206" s="8" t="str">
        <f t="shared" si="80"/>
        <v/>
      </c>
    </row>
    <row r="207" spans="1:24" x14ac:dyDescent="0.25">
      <c r="A207" s="2">
        <v>19</v>
      </c>
      <c r="B207" s="4" t="str">
        <f>IF(19&lt;=N_3,(19-0.5)*dx_3,"")</f>
        <v/>
      </c>
      <c r="D207" s="8" t="str">
        <f t="shared" ref="D207:X207" si="81">IF(COUNT(D179)&lt;1,"",ABS(D179-(PI()*U0/L)*COS(PI()*D$187/L)*SIN(PI()*$B207/L)))</f>
        <v/>
      </c>
      <c r="E207" s="8" t="str">
        <f t="shared" si="81"/>
        <v/>
      </c>
      <c r="F207" s="8" t="str">
        <f t="shared" si="81"/>
        <v/>
      </c>
      <c r="G207" s="8" t="str">
        <f t="shared" si="81"/>
        <v/>
      </c>
      <c r="H207" s="8" t="str">
        <f t="shared" si="81"/>
        <v/>
      </c>
      <c r="I207" s="8" t="str">
        <f t="shared" si="81"/>
        <v/>
      </c>
      <c r="J207" s="8" t="str">
        <f t="shared" si="81"/>
        <v/>
      </c>
      <c r="K207" s="8" t="str">
        <f t="shared" si="81"/>
        <v/>
      </c>
      <c r="L207" s="8" t="str">
        <f t="shared" si="81"/>
        <v/>
      </c>
      <c r="M207" s="8" t="str">
        <f t="shared" si="81"/>
        <v/>
      </c>
      <c r="N207" s="8" t="str">
        <f t="shared" si="81"/>
        <v/>
      </c>
      <c r="O207" s="8" t="str">
        <f t="shared" si="81"/>
        <v/>
      </c>
      <c r="P207" s="8" t="str">
        <f t="shared" si="81"/>
        <v/>
      </c>
      <c r="Q207" s="8" t="str">
        <f t="shared" si="81"/>
        <v/>
      </c>
      <c r="R207" s="8" t="str">
        <f t="shared" si="81"/>
        <v/>
      </c>
      <c r="S207" s="8" t="str">
        <f t="shared" si="81"/>
        <v/>
      </c>
      <c r="T207" s="8" t="str">
        <f t="shared" si="81"/>
        <v/>
      </c>
      <c r="U207" s="8" t="str">
        <f t="shared" si="81"/>
        <v/>
      </c>
      <c r="V207" s="8" t="str">
        <f t="shared" si="81"/>
        <v/>
      </c>
      <c r="W207" s="8" t="str">
        <f t="shared" si="81"/>
        <v/>
      </c>
      <c r="X207" s="8" t="str">
        <f t="shared" si="81"/>
        <v/>
      </c>
    </row>
    <row r="208" spans="1:24" x14ac:dyDescent="0.25">
      <c r="A208" s="2">
        <v>20</v>
      </c>
      <c r="B208" s="4" t="str">
        <f>IF(20&lt;=N_3,(20-0.5)*dx_3,"")</f>
        <v/>
      </c>
      <c r="D208" s="8" t="str">
        <f t="shared" ref="D208:X208" si="82">IF(COUNT(D180)&lt;1,"",ABS(D180-(PI()*U0/L)*COS(PI()*D$187/L)*SIN(PI()*$B208/L)))</f>
        <v/>
      </c>
      <c r="E208" s="8" t="str">
        <f t="shared" si="82"/>
        <v/>
      </c>
      <c r="F208" s="8" t="str">
        <f t="shared" si="82"/>
        <v/>
      </c>
      <c r="G208" s="8" t="str">
        <f t="shared" si="82"/>
        <v/>
      </c>
      <c r="H208" s="8" t="str">
        <f t="shared" si="82"/>
        <v/>
      </c>
      <c r="I208" s="8" t="str">
        <f t="shared" si="82"/>
        <v/>
      </c>
      <c r="J208" s="8" t="str">
        <f t="shared" si="82"/>
        <v/>
      </c>
      <c r="K208" s="8" t="str">
        <f t="shared" si="82"/>
        <v/>
      </c>
      <c r="L208" s="8" t="str">
        <f t="shared" si="82"/>
        <v/>
      </c>
      <c r="M208" s="8" t="str">
        <f t="shared" si="82"/>
        <v/>
      </c>
      <c r="N208" s="8" t="str">
        <f t="shared" si="82"/>
        <v/>
      </c>
      <c r="O208" s="8" t="str">
        <f t="shared" si="82"/>
        <v/>
      </c>
      <c r="P208" s="8" t="str">
        <f t="shared" si="82"/>
        <v/>
      </c>
      <c r="Q208" s="8" t="str">
        <f t="shared" si="82"/>
        <v/>
      </c>
      <c r="R208" s="8" t="str">
        <f t="shared" si="82"/>
        <v/>
      </c>
      <c r="S208" s="8" t="str">
        <f t="shared" si="82"/>
        <v/>
      </c>
      <c r="T208" s="8" t="str">
        <f t="shared" si="82"/>
        <v/>
      </c>
      <c r="U208" s="8" t="str">
        <f t="shared" si="82"/>
        <v/>
      </c>
      <c r="V208" s="8" t="str">
        <f t="shared" si="82"/>
        <v/>
      </c>
      <c r="W208" s="8" t="str">
        <f t="shared" si="82"/>
        <v/>
      </c>
      <c r="X208" s="8" t="str">
        <f t="shared" si="82"/>
        <v/>
      </c>
    </row>
    <row r="209" spans="1:24" x14ac:dyDescent="0.25">
      <c r="A209" s="2">
        <v>21</v>
      </c>
      <c r="B209" s="4" t="str">
        <f>IF(21&lt;=N_3,(21-0.5)*dx_3,"")</f>
        <v/>
      </c>
      <c r="D209" s="8" t="str">
        <f t="shared" ref="D209:X209" si="83">IF(COUNT(D181)&lt;1,"",ABS(D181-(PI()*U0/L)*COS(PI()*D$187/L)*SIN(PI()*$B209/L)))</f>
        <v/>
      </c>
      <c r="E209" s="8" t="str">
        <f t="shared" si="83"/>
        <v/>
      </c>
      <c r="F209" s="8" t="str">
        <f t="shared" si="83"/>
        <v/>
      </c>
      <c r="G209" s="8" t="str">
        <f t="shared" si="83"/>
        <v/>
      </c>
      <c r="H209" s="8" t="str">
        <f t="shared" si="83"/>
        <v/>
      </c>
      <c r="I209" s="8" t="str">
        <f t="shared" si="83"/>
        <v/>
      </c>
      <c r="J209" s="8" t="str">
        <f t="shared" si="83"/>
        <v/>
      </c>
      <c r="K209" s="8" t="str">
        <f t="shared" si="83"/>
        <v/>
      </c>
      <c r="L209" s="8" t="str">
        <f t="shared" si="83"/>
        <v/>
      </c>
      <c r="M209" s="8" t="str">
        <f t="shared" si="83"/>
        <v/>
      </c>
      <c r="N209" s="8" t="str">
        <f t="shared" si="83"/>
        <v/>
      </c>
      <c r="O209" s="8" t="str">
        <f t="shared" si="83"/>
        <v/>
      </c>
      <c r="P209" s="8" t="str">
        <f t="shared" si="83"/>
        <v/>
      </c>
      <c r="Q209" s="8" t="str">
        <f t="shared" si="83"/>
        <v/>
      </c>
      <c r="R209" s="8" t="str">
        <f t="shared" si="83"/>
        <v/>
      </c>
      <c r="S209" s="8" t="str">
        <f t="shared" si="83"/>
        <v/>
      </c>
      <c r="T209" s="8" t="str">
        <f t="shared" si="83"/>
        <v/>
      </c>
      <c r="U209" s="8" t="str">
        <f t="shared" si="83"/>
        <v/>
      </c>
      <c r="V209" s="8" t="str">
        <f t="shared" si="83"/>
        <v/>
      </c>
      <c r="W209" s="8" t="str">
        <f t="shared" si="83"/>
        <v/>
      </c>
      <c r="X209" s="8" t="str">
        <f t="shared" si="83"/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V49"/>
  <sheetViews>
    <sheetView workbookViewId="0"/>
  </sheetViews>
  <sheetFormatPr defaultRowHeight="15" x14ac:dyDescent="0.25"/>
  <cols>
    <col min="2" max="23" width="4.140625" customWidth="1"/>
  </cols>
  <sheetData>
    <row r="1" spans="1:22" ht="18.75" x14ac:dyDescent="0.3">
      <c r="A1" s="1" t="s">
        <v>91</v>
      </c>
    </row>
    <row r="2" spans="1:22" x14ac:dyDescent="0.25">
      <c r="A2" t="s">
        <v>92</v>
      </c>
    </row>
    <row r="4" spans="1:22" ht="15.75" x14ac:dyDescent="0.25">
      <c r="A4" s="5" t="s">
        <v>93</v>
      </c>
    </row>
    <row r="5" spans="1:22" x14ac:dyDescent="0.25">
      <c r="B5" s="10" t="str">
        <f>Solver!D64</f>
        <v/>
      </c>
      <c r="C5" s="10" t="str">
        <f>Solver!E64</f>
        <v/>
      </c>
      <c r="D5" s="10" t="str">
        <f>Solver!F64</f>
        <v/>
      </c>
      <c r="E5" s="10" t="str">
        <f>Solver!G64</f>
        <v/>
      </c>
      <c r="F5" s="10" t="str">
        <f>Solver!H64</f>
        <v/>
      </c>
      <c r="G5" s="10" t="str">
        <f>Solver!I64</f>
        <v/>
      </c>
      <c r="H5" s="10" t="str">
        <f>Solver!J64</f>
        <v/>
      </c>
      <c r="I5" s="10" t="str">
        <f>Solver!K64</f>
        <v/>
      </c>
      <c r="J5" s="10" t="str">
        <f>Solver!L64</f>
        <v/>
      </c>
      <c r="K5" s="10" t="str">
        <f>Solver!M64</f>
        <v/>
      </c>
      <c r="L5" s="10" t="str">
        <f>Solver!N64</f>
        <v/>
      </c>
      <c r="M5" s="10" t="str">
        <f>Solver!O64</f>
        <v/>
      </c>
      <c r="N5" s="10" t="str">
        <f>Solver!P64</f>
        <v/>
      </c>
      <c r="O5" s="10" t="str">
        <f>Solver!Q64</f>
        <v/>
      </c>
      <c r="P5" s="10" t="str">
        <f>Solver!R64</f>
        <v/>
      </c>
      <c r="Q5" s="10" t="str">
        <f>Solver!S64</f>
        <v/>
      </c>
      <c r="R5" s="10" t="str">
        <f>Solver!T64</f>
        <v/>
      </c>
      <c r="S5" s="10" t="str">
        <f>Solver!U64</f>
        <v/>
      </c>
      <c r="T5" s="10" t="str">
        <f>Solver!V64</f>
        <v/>
      </c>
      <c r="U5" s="10" t="str">
        <f>Solver!W64</f>
        <v/>
      </c>
      <c r="V5" s="10" t="str">
        <f>Solver!X64</f>
        <v/>
      </c>
    </row>
    <row r="6" spans="1:22" x14ac:dyDescent="0.25">
      <c r="B6" s="10" t="str">
        <f>Solver!D65</f>
        <v/>
      </c>
      <c r="C6" s="10">
        <f>Solver!E65</f>
        <v>0</v>
      </c>
      <c r="D6" s="10">
        <f>Solver!F65</f>
        <v>0</v>
      </c>
      <c r="E6" s="10">
        <f>Solver!G65</f>
        <v>-4.4408920985006262E-16</v>
      </c>
      <c r="F6" s="10">
        <f>Solver!H65</f>
        <v>4.4408920985006262E-16</v>
      </c>
      <c r="G6" s="10">
        <f>Solver!I65</f>
        <v>4.4408920985006262E-16</v>
      </c>
      <c r="H6" s="10">
        <f>Solver!J65</f>
        <v>-2.2204460492503131E-16</v>
      </c>
      <c r="I6" s="10">
        <f>Solver!K65</f>
        <v>-1.5543122344752192E-15</v>
      </c>
      <c r="J6" s="10">
        <f>Solver!L65</f>
        <v>1.2212453270876722E-15</v>
      </c>
      <c r="K6" s="10">
        <f>Solver!M65</f>
        <v>4.9960036108132044E-16</v>
      </c>
      <c r="L6" s="10">
        <f>Solver!N65</f>
        <v>-1.8692180473293445E-16</v>
      </c>
      <c r="M6" s="10">
        <f>Solver!O65</f>
        <v>-1.5543122344752192E-15</v>
      </c>
      <c r="N6" s="10">
        <f>Solver!P65</f>
        <v>-3.3306690738754696E-16</v>
      </c>
      <c r="O6" s="10">
        <f>Solver!Q65</f>
        <v>0</v>
      </c>
      <c r="P6" s="10">
        <f>Solver!R65</f>
        <v>1.7763568394002505E-15</v>
      </c>
      <c r="Q6" s="10">
        <f>Solver!S65</f>
        <v>4.4408920985006262E-16</v>
      </c>
      <c r="R6" s="10">
        <f>Solver!T65</f>
        <v>1.3322676295501878E-15</v>
      </c>
      <c r="S6" s="10">
        <f>Solver!U65</f>
        <v>8.8817841970012523E-16</v>
      </c>
      <c r="T6" s="10">
        <f>Solver!V65</f>
        <v>1.7763568394002505E-15</v>
      </c>
      <c r="U6" s="10">
        <f>Solver!W65</f>
        <v>1.7763568394002505E-15</v>
      </c>
      <c r="V6" s="10" t="str">
        <f>Solver!X65</f>
        <v/>
      </c>
    </row>
    <row r="7" spans="1:22" x14ac:dyDescent="0.25">
      <c r="B7" s="10" t="str">
        <f>Solver!D66</f>
        <v/>
      </c>
      <c r="C7" s="10">
        <f>Solver!E66</f>
        <v>0</v>
      </c>
      <c r="D7" s="10">
        <f>Solver!F66</f>
        <v>0</v>
      </c>
      <c r="E7" s="10">
        <f>Solver!G66</f>
        <v>4.4408920985006262E-16</v>
      </c>
      <c r="F7" s="10">
        <f>Solver!H66</f>
        <v>-4.4408920985006262E-16</v>
      </c>
      <c r="G7" s="10">
        <f>Solver!I66</f>
        <v>2.2204460492503131E-16</v>
      </c>
      <c r="H7" s="10">
        <f>Solver!J66</f>
        <v>8.8817841970012523E-16</v>
      </c>
      <c r="I7" s="10">
        <f>Solver!K66</f>
        <v>-6.6613381477509392E-16</v>
      </c>
      <c r="J7" s="10">
        <f>Solver!L66</f>
        <v>5.5511151231257827E-16</v>
      </c>
      <c r="K7" s="10">
        <f>Solver!M66</f>
        <v>-3.8857805861880479E-16</v>
      </c>
      <c r="L7" s="10">
        <f>Solver!N66</f>
        <v>-1.7847535074227684E-16</v>
      </c>
      <c r="M7" s="10">
        <f>Solver!O66</f>
        <v>-5.5511151231257827E-16</v>
      </c>
      <c r="N7" s="10">
        <f>Solver!P66</f>
        <v>3.3306690738754696E-16</v>
      </c>
      <c r="O7" s="10">
        <f>Solver!Q66</f>
        <v>-1.1102230246251565E-15</v>
      </c>
      <c r="P7" s="10">
        <f>Solver!R66</f>
        <v>4.4408920985006262E-16</v>
      </c>
      <c r="Q7" s="10">
        <f>Solver!S66</f>
        <v>0</v>
      </c>
      <c r="R7" s="10">
        <f>Solver!T66</f>
        <v>2.2204460492503131E-15</v>
      </c>
      <c r="S7" s="10">
        <f>Solver!U66</f>
        <v>1.3322676295501878E-15</v>
      </c>
      <c r="T7" s="10">
        <f>Solver!V66</f>
        <v>4.4408920985006262E-16</v>
      </c>
      <c r="U7" s="10">
        <f>Solver!W66</f>
        <v>1.3322676295501878E-15</v>
      </c>
      <c r="V7" s="10" t="str">
        <f>Solver!X66</f>
        <v/>
      </c>
    </row>
    <row r="8" spans="1:22" x14ac:dyDescent="0.25">
      <c r="B8" s="10" t="str">
        <f>Solver!D67</f>
        <v/>
      </c>
      <c r="C8" s="10">
        <f>Solver!E67</f>
        <v>4.4408920985006262E-16</v>
      </c>
      <c r="D8" s="10">
        <f>Solver!F67</f>
        <v>-4.4408920985006262E-16</v>
      </c>
      <c r="E8" s="10">
        <f>Solver!G67</f>
        <v>0</v>
      </c>
      <c r="F8" s="10">
        <f>Solver!H67</f>
        <v>0</v>
      </c>
      <c r="G8" s="10">
        <f>Solver!I67</f>
        <v>2.2204460492503131E-16</v>
      </c>
      <c r="H8" s="10">
        <f>Solver!J67</f>
        <v>8.8817841970012523E-16</v>
      </c>
      <c r="I8" s="10">
        <f>Solver!K67</f>
        <v>-2.4424906541753444E-15</v>
      </c>
      <c r="J8" s="10">
        <f>Solver!L67</f>
        <v>1.1102230246251565E-16</v>
      </c>
      <c r="K8" s="10">
        <f>Solver!M67</f>
        <v>2.2204460492503131E-16</v>
      </c>
      <c r="L8" s="10">
        <f>Solver!N67</f>
        <v>-1.66042052337676E-16</v>
      </c>
      <c r="M8" s="10">
        <f>Solver!O67</f>
        <v>-1.0547118733938987E-15</v>
      </c>
      <c r="N8" s="10">
        <f>Solver!P67</f>
        <v>5.5511151231257827E-16</v>
      </c>
      <c r="O8" s="10">
        <f>Solver!Q67</f>
        <v>-2.2204460492503131E-16</v>
      </c>
      <c r="P8" s="10">
        <f>Solver!R67</f>
        <v>1.1102230246251565E-15</v>
      </c>
      <c r="Q8" s="10">
        <f>Solver!S67</f>
        <v>-2.2204460492503131E-16</v>
      </c>
      <c r="R8" s="10">
        <f>Solver!T67</f>
        <v>1.3322676295501878E-15</v>
      </c>
      <c r="S8" s="10">
        <f>Solver!U67</f>
        <v>1.3322676295501878E-15</v>
      </c>
      <c r="T8" s="10">
        <f>Solver!V67</f>
        <v>1.3322676295501878E-15</v>
      </c>
      <c r="U8" s="10">
        <f>Solver!W67</f>
        <v>1.3322676295501878E-15</v>
      </c>
      <c r="V8" s="10" t="str">
        <f>Solver!X67</f>
        <v/>
      </c>
    </row>
    <row r="9" spans="1:22" x14ac:dyDescent="0.25">
      <c r="B9" s="10" t="str">
        <f>Solver!D68</f>
        <v/>
      </c>
      <c r="C9" s="10">
        <f>Solver!E68</f>
        <v>-4.4408920985006262E-16</v>
      </c>
      <c r="D9" s="10">
        <f>Solver!F68</f>
        <v>4.4408920985006262E-16</v>
      </c>
      <c r="E9" s="10">
        <f>Solver!G68</f>
        <v>0</v>
      </c>
      <c r="F9" s="10">
        <f>Solver!H68</f>
        <v>0</v>
      </c>
      <c r="G9" s="10">
        <f>Solver!I68</f>
        <v>1.3322676295501878E-15</v>
      </c>
      <c r="H9" s="10">
        <f>Solver!J68</f>
        <v>6.6613381477509392E-16</v>
      </c>
      <c r="I9" s="10">
        <f>Solver!K68</f>
        <v>-1.7763568394002505E-15</v>
      </c>
      <c r="J9" s="10">
        <f>Solver!L68</f>
        <v>5.5511151231257827E-16</v>
      </c>
      <c r="K9" s="10">
        <f>Solver!M68</f>
        <v>0</v>
      </c>
      <c r="L9" s="10">
        <f>Solver!N68</f>
        <v>-1.4989964886008359E-16</v>
      </c>
      <c r="M9" s="10">
        <f>Solver!O68</f>
        <v>-7.2164496600635175E-16</v>
      </c>
      <c r="N9" s="10">
        <f>Solver!P68</f>
        <v>2.2204460492503131E-16</v>
      </c>
      <c r="O9" s="10">
        <f>Solver!Q68</f>
        <v>-4.4408920985006262E-16</v>
      </c>
      <c r="P9" s="10">
        <f>Solver!R68</f>
        <v>6.6613381477509392E-16</v>
      </c>
      <c r="Q9" s="10">
        <f>Solver!S68</f>
        <v>6.6613381477509392E-16</v>
      </c>
      <c r="R9" s="10">
        <f>Solver!T68</f>
        <v>1.1102230246251565E-15</v>
      </c>
      <c r="S9" s="10">
        <f>Solver!U68</f>
        <v>0</v>
      </c>
      <c r="T9" s="10">
        <f>Solver!V68</f>
        <v>8.8817841970012523E-16</v>
      </c>
      <c r="U9" s="10">
        <f>Solver!W68</f>
        <v>8.8817841970012523E-16</v>
      </c>
      <c r="V9" s="10" t="str">
        <f>Solver!X68</f>
        <v/>
      </c>
    </row>
    <row r="10" spans="1:22" x14ac:dyDescent="0.25">
      <c r="B10" s="10" t="str">
        <f>Solver!D69</f>
        <v/>
      </c>
      <c r="C10" s="10">
        <f>Solver!E69</f>
        <v>-4.4408920985006262E-16</v>
      </c>
      <c r="D10" s="10">
        <f>Solver!F69</f>
        <v>-2.2204460492503131E-16</v>
      </c>
      <c r="E10" s="10">
        <f>Solver!G69</f>
        <v>-2.2204460492503131E-16</v>
      </c>
      <c r="F10" s="10">
        <f>Solver!H69</f>
        <v>-1.3322676295501878E-15</v>
      </c>
      <c r="G10" s="10">
        <f>Solver!I69</f>
        <v>0</v>
      </c>
      <c r="H10" s="10">
        <f>Solver!J69</f>
        <v>6.6613381477509392E-16</v>
      </c>
      <c r="I10" s="10">
        <f>Solver!K69</f>
        <v>-1.1102230246251565E-15</v>
      </c>
      <c r="J10" s="10">
        <f>Solver!L69</f>
        <v>-2.2204460492503131E-16</v>
      </c>
      <c r="K10" s="10">
        <f>Solver!M69</f>
        <v>-3.3306690738754696E-16</v>
      </c>
      <c r="L10" s="10">
        <f>Solver!N69</f>
        <v>-1.3040873492867022E-16</v>
      </c>
      <c r="M10" s="10">
        <f>Solver!O69</f>
        <v>-4.4408920985006262E-16</v>
      </c>
      <c r="N10" s="10">
        <f>Solver!P69</f>
        <v>2.2204460492503131E-16</v>
      </c>
      <c r="O10" s="10">
        <f>Solver!Q69</f>
        <v>0</v>
      </c>
      <c r="P10" s="10">
        <f>Solver!R69</f>
        <v>1.1102230246251565E-15</v>
      </c>
      <c r="Q10" s="10">
        <f>Solver!S69</f>
        <v>6.6613381477509392E-16</v>
      </c>
      <c r="R10" s="10">
        <f>Solver!T69</f>
        <v>2.4424906541753444E-15</v>
      </c>
      <c r="S10" s="10">
        <f>Solver!U69</f>
        <v>1.7763568394002505E-15</v>
      </c>
      <c r="T10" s="10">
        <f>Solver!V69</f>
        <v>1.1102230246251565E-15</v>
      </c>
      <c r="U10" s="10">
        <f>Solver!W69</f>
        <v>8.8817841970012523E-16</v>
      </c>
      <c r="V10" s="10" t="str">
        <f>Solver!X69</f>
        <v/>
      </c>
    </row>
    <row r="11" spans="1:22" x14ac:dyDescent="0.25">
      <c r="B11" s="10" t="str">
        <f>Solver!D70</f>
        <v/>
      </c>
      <c r="C11" s="10">
        <f>Solver!E70</f>
        <v>2.2204460492503131E-16</v>
      </c>
      <c r="D11" s="10">
        <f>Solver!F70</f>
        <v>-8.8817841970012523E-16</v>
      </c>
      <c r="E11" s="10">
        <f>Solver!G70</f>
        <v>-8.8817841970012523E-16</v>
      </c>
      <c r="F11" s="10">
        <f>Solver!H70</f>
        <v>-6.6613381477509392E-16</v>
      </c>
      <c r="G11" s="10">
        <f>Solver!I70</f>
        <v>-6.6613381477509392E-16</v>
      </c>
      <c r="H11" s="10">
        <f>Solver!J70</f>
        <v>0</v>
      </c>
      <c r="I11" s="10">
        <f>Solver!K70</f>
        <v>-1.2212453270876722E-15</v>
      </c>
      <c r="J11" s="10">
        <f>Solver!L70</f>
        <v>0</v>
      </c>
      <c r="K11" s="10">
        <f>Solver!M70</f>
        <v>2.7755575615628914E-16</v>
      </c>
      <c r="L11" s="10">
        <f>Solver!N70</f>
        <v>-1.0800470535289781E-16</v>
      </c>
      <c r="M11" s="10">
        <f>Solver!O70</f>
        <v>-9.9920072216264089E-16</v>
      </c>
      <c r="N11" s="10">
        <f>Solver!P70</f>
        <v>3.3306690738754696E-16</v>
      </c>
      <c r="O11" s="10">
        <f>Solver!Q70</f>
        <v>0</v>
      </c>
      <c r="P11" s="10">
        <f>Solver!R70</f>
        <v>1.7763568394002505E-15</v>
      </c>
      <c r="Q11" s="10">
        <f>Solver!S70</f>
        <v>6.6613381477509392E-16</v>
      </c>
      <c r="R11" s="10">
        <f>Solver!T70</f>
        <v>1.7763568394002505E-15</v>
      </c>
      <c r="S11" s="10">
        <f>Solver!U70</f>
        <v>1.7763568394002505E-15</v>
      </c>
      <c r="T11" s="10">
        <f>Solver!V70</f>
        <v>6.6613381477509392E-16</v>
      </c>
      <c r="U11" s="10">
        <f>Solver!W70</f>
        <v>8.8817841970012523E-16</v>
      </c>
      <c r="V11" s="10" t="str">
        <f>Solver!X70</f>
        <v/>
      </c>
    </row>
    <row r="12" spans="1:22" x14ac:dyDescent="0.25">
      <c r="B12" s="10" t="str">
        <f>Solver!D71</f>
        <v/>
      </c>
      <c r="C12" s="10">
        <f>Solver!E71</f>
        <v>1.5543122344752192E-15</v>
      </c>
      <c r="D12" s="10">
        <f>Solver!F71</f>
        <v>6.6613381477509392E-16</v>
      </c>
      <c r="E12" s="10">
        <f>Solver!G71</f>
        <v>2.4424906541753444E-15</v>
      </c>
      <c r="F12" s="10">
        <f>Solver!H71</f>
        <v>1.7763568394002505E-15</v>
      </c>
      <c r="G12" s="10">
        <f>Solver!I71</f>
        <v>1.1102230246251565E-15</v>
      </c>
      <c r="H12" s="10">
        <f>Solver!J71</f>
        <v>1.2212453270876722E-15</v>
      </c>
      <c r="I12" s="10">
        <f>Solver!K71</f>
        <v>0</v>
      </c>
      <c r="J12" s="10">
        <f>Solver!L71</f>
        <v>5.5511151231257827E-16</v>
      </c>
      <c r="K12" s="10">
        <f>Solver!M71</f>
        <v>1.3877787807814457E-16</v>
      </c>
      <c r="L12" s="10">
        <f>Solver!N71</f>
        <v>-8.3188029131944805E-17</v>
      </c>
      <c r="M12" s="10">
        <f>Solver!O71</f>
        <v>-4.163336342344337E-16</v>
      </c>
      <c r="N12" s="10">
        <f>Solver!P71</f>
        <v>-2.7755575615628914E-16</v>
      </c>
      <c r="O12" s="10">
        <f>Solver!Q71</f>
        <v>-1.2212453270876722E-15</v>
      </c>
      <c r="P12" s="10">
        <f>Solver!R71</f>
        <v>-1.2212453270876722E-15</v>
      </c>
      <c r="Q12" s="10">
        <f>Solver!S71</f>
        <v>-5.5511151231257827E-16</v>
      </c>
      <c r="R12" s="10">
        <f>Solver!T71</f>
        <v>-6.6613381477509392E-16</v>
      </c>
      <c r="S12" s="10">
        <f>Solver!U71</f>
        <v>-8.8817841970012523E-16</v>
      </c>
      <c r="T12" s="10">
        <f>Solver!V71</f>
        <v>0</v>
      </c>
      <c r="U12" s="10">
        <f>Solver!W71</f>
        <v>-1.3322676295501878E-15</v>
      </c>
      <c r="V12" s="10" t="str">
        <f>Solver!X71</f>
        <v/>
      </c>
    </row>
    <row r="13" spans="1:22" x14ac:dyDescent="0.25">
      <c r="B13" s="10" t="str">
        <f>Solver!D72</f>
        <v/>
      </c>
      <c r="C13" s="10">
        <f>Solver!E72</f>
        <v>-1.2212453270876722E-15</v>
      </c>
      <c r="D13" s="10">
        <f>Solver!F72</f>
        <v>-5.5511151231257827E-16</v>
      </c>
      <c r="E13" s="10">
        <f>Solver!G72</f>
        <v>-1.1102230246251565E-16</v>
      </c>
      <c r="F13" s="10">
        <f>Solver!H72</f>
        <v>-5.5511151231257827E-16</v>
      </c>
      <c r="G13" s="10">
        <f>Solver!I72</f>
        <v>2.2204460492503131E-16</v>
      </c>
      <c r="H13" s="10">
        <f>Solver!J72</f>
        <v>0</v>
      </c>
      <c r="I13" s="10">
        <f>Solver!K72</f>
        <v>-5.5511151231257827E-16</v>
      </c>
      <c r="J13" s="10">
        <f>Solver!L72</f>
        <v>0</v>
      </c>
      <c r="K13" s="10">
        <f>Solver!M72</f>
        <v>0</v>
      </c>
      <c r="L13" s="10">
        <f>Solver!N72</f>
        <v>-5.6513069804264376E-17</v>
      </c>
      <c r="M13" s="10">
        <f>Solver!O72</f>
        <v>-2.7755575615628914E-16</v>
      </c>
      <c r="N13" s="10">
        <f>Solver!P72</f>
        <v>0</v>
      </c>
      <c r="O13" s="10">
        <f>Solver!Q72</f>
        <v>2.7755575615628914E-16</v>
      </c>
      <c r="P13" s="10">
        <f>Solver!R72</f>
        <v>0</v>
      </c>
      <c r="Q13" s="10">
        <f>Solver!S72</f>
        <v>3.3306690738754696E-16</v>
      </c>
      <c r="R13" s="10">
        <f>Solver!T72</f>
        <v>1.4432899320127035E-15</v>
      </c>
      <c r="S13" s="10">
        <f>Solver!U72</f>
        <v>5.5511151231257827E-16</v>
      </c>
      <c r="T13" s="10">
        <f>Solver!V72</f>
        <v>8.8817841970012523E-16</v>
      </c>
      <c r="U13" s="10">
        <f>Solver!W72</f>
        <v>1.7763568394002505E-15</v>
      </c>
      <c r="V13" s="10" t="str">
        <f>Solver!X72</f>
        <v/>
      </c>
    </row>
    <row r="14" spans="1:22" x14ac:dyDescent="0.25">
      <c r="B14" s="10" t="str">
        <f>Solver!D73</f>
        <v/>
      </c>
      <c r="C14" s="10">
        <f>Solver!E73</f>
        <v>-4.9960036108132044E-16</v>
      </c>
      <c r="D14" s="10">
        <f>Solver!F73</f>
        <v>3.8857805861880479E-16</v>
      </c>
      <c r="E14" s="10">
        <f>Solver!G73</f>
        <v>-2.2204460492503131E-16</v>
      </c>
      <c r="F14" s="10">
        <f>Solver!H73</f>
        <v>0</v>
      </c>
      <c r="G14" s="10">
        <f>Solver!I73</f>
        <v>3.3306690738754696E-16</v>
      </c>
      <c r="H14" s="10">
        <f>Solver!J73</f>
        <v>-2.7755575615628914E-16</v>
      </c>
      <c r="I14" s="10">
        <f>Solver!K73</f>
        <v>-1.3877787807814457E-16</v>
      </c>
      <c r="J14" s="10">
        <f>Solver!L73</f>
        <v>0</v>
      </c>
      <c r="K14" s="10">
        <f>Solver!M73</f>
        <v>0</v>
      </c>
      <c r="L14" s="10">
        <f>Solver!N73</f>
        <v>-2.85757018821933E-17</v>
      </c>
      <c r="M14" s="10">
        <f>Solver!O73</f>
        <v>-2.9143354396410359E-16</v>
      </c>
      <c r="N14" s="10">
        <f>Solver!P73</f>
        <v>0</v>
      </c>
      <c r="O14" s="10">
        <f>Solver!Q73</f>
        <v>0</v>
      </c>
      <c r="P14" s="10">
        <f>Solver!R73</f>
        <v>7.2164496600635175E-16</v>
      </c>
      <c r="Q14" s="10">
        <f>Solver!S73</f>
        <v>0</v>
      </c>
      <c r="R14" s="10">
        <f>Solver!T73</f>
        <v>2.7755575615628914E-16</v>
      </c>
      <c r="S14" s="10">
        <f>Solver!U73</f>
        <v>4.9960036108132044E-16</v>
      </c>
      <c r="T14" s="10">
        <f>Solver!V73</f>
        <v>-3.3306690738754696E-16</v>
      </c>
      <c r="U14" s="10">
        <f>Solver!W73</f>
        <v>7.2164496600635175E-16</v>
      </c>
      <c r="V14" s="10" t="str">
        <f>Solver!X73</f>
        <v/>
      </c>
    </row>
    <row r="15" spans="1:22" x14ac:dyDescent="0.25">
      <c r="B15" s="10" t="str">
        <f>Solver!D74</f>
        <v/>
      </c>
      <c r="C15" s="10">
        <f>Solver!E74</f>
        <v>1.8692180473293445E-16</v>
      </c>
      <c r="D15" s="10">
        <f>Solver!F74</f>
        <v>1.7847535074227684E-16</v>
      </c>
      <c r="E15" s="10">
        <f>Solver!G74</f>
        <v>1.66042052337676E-16</v>
      </c>
      <c r="F15" s="10">
        <f>Solver!H74</f>
        <v>1.4989964886008359E-16</v>
      </c>
      <c r="G15" s="10">
        <f>Solver!I74</f>
        <v>1.3040873492867022E-16</v>
      </c>
      <c r="H15" s="10">
        <f>Solver!J74</f>
        <v>1.0800470535289781E-16</v>
      </c>
      <c r="I15" s="10">
        <f>Solver!K74</f>
        <v>8.3188029131944805E-17</v>
      </c>
      <c r="J15" s="10">
        <f>Solver!L74</f>
        <v>5.6513069804264376E-17</v>
      </c>
      <c r="K15" s="10">
        <f>Solver!M74</f>
        <v>2.85757018821933E-17</v>
      </c>
      <c r="L15" s="10">
        <f>Solver!N74</f>
        <v>0</v>
      </c>
      <c r="M15" s="10">
        <f>Solver!O74</f>
        <v>-2.85757018821933E-17</v>
      </c>
      <c r="N15" s="10">
        <f>Solver!P74</f>
        <v>-5.6513069804264314E-17</v>
      </c>
      <c r="O15" s="10">
        <f>Solver!Q74</f>
        <v>-8.3188029131944867E-17</v>
      </c>
      <c r="P15" s="10">
        <f>Solver!R74</f>
        <v>-1.0800470535289775E-16</v>
      </c>
      <c r="Q15" s="10">
        <f>Solver!S74</f>
        <v>-1.3040873492867008E-16</v>
      </c>
      <c r="R15" s="10">
        <f>Solver!T74</f>
        <v>-1.4989964886008346E-16</v>
      </c>
      <c r="S15" s="10">
        <f>Solver!U74</f>
        <v>-1.6604205233767593E-16</v>
      </c>
      <c r="T15" s="10">
        <f>Solver!V74</f>
        <v>-1.7847535074227674E-16</v>
      </c>
      <c r="U15" s="10">
        <f>Solver!W74</f>
        <v>-1.8692180473293435E-16</v>
      </c>
      <c r="V15" s="10" t="str">
        <f>Solver!X74</f>
        <v/>
      </c>
    </row>
    <row r="16" spans="1:22" x14ac:dyDescent="0.25">
      <c r="B16" s="10" t="str">
        <f>Solver!D75</f>
        <v/>
      </c>
      <c r="C16" s="10">
        <f>Solver!E75</f>
        <v>1.5543122344752192E-15</v>
      </c>
      <c r="D16" s="10">
        <f>Solver!F75</f>
        <v>5.5511151231257827E-16</v>
      </c>
      <c r="E16" s="10">
        <f>Solver!G75</f>
        <v>1.0547118733938987E-15</v>
      </c>
      <c r="F16" s="10">
        <f>Solver!H75</f>
        <v>7.2164496600635175E-16</v>
      </c>
      <c r="G16" s="10">
        <f>Solver!I75</f>
        <v>4.4408920985006262E-16</v>
      </c>
      <c r="H16" s="10">
        <f>Solver!J75</f>
        <v>9.9920072216264089E-16</v>
      </c>
      <c r="I16" s="10">
        <f>Solver!K75</f>
        <v>4.163336342344337E-16</v>
      </c>
      <c r="J16" s="10">
        <f>Solver!L75</f>
        <v>2.7755575615628914E-16</v>
      </c>
      <c r="K16" s="10">
        <f>Solver!M75</f>
        <v>2.9143354396410359E-16</v>
      </c>
      <c r="L16" s="10">
        <f>Solver!N75</f>
        <v>2.85757018821933E-17</v>
      </c>
      <c r="M16" s="10">
        <f>Solver!O75</f>
        <v>0</v>
      </c>
      <c r="N16" s="10">
        <f>Solver!P75</f>
        <v>-5.8286708792820718E-16</v>
      </c>
      <c r="O16" s="10">
        <f>Solver!Q75</f>
        <v>-2.7755575615628914E-16</v>
      </c>
      <c r="P16" s="10">
        <f>Solver!R75</f>
        <v>-9.9920072216264089E-16</v>
      </c>
      <c r="Q16" s="10">
        <f>Solver!S75</f>
        <v>-7.2164496600635175E-16</v>
      </c>
      <c r="R16" s="10">
        <f>Solver!T75</f>
        <v>-1.1657341758564144E-15</v>
      </c>
      <c r="S16" s="10">
        <f>Solver!U75</f>
        <v>-1.3877787807814457E-15</v>
      </c>
      <c r="T16" s="10">
        <f>Solver!V75</f>
        <v>-7.2164496600635175E-16</v>
      </c>
      <c r="U16" s="10">
        <f>Solver!W75</f>
        <v>-1.7763568394002505E-15</v>
      </c>
      <c r="V16" s="10" t="str">
        <f>Solver!X75</f>
        <v/>
      </c>
    </row>
    <row r="17" spans="1:22" x14ac:dyDescent="0.25">
      <c r="B17" s="10" t="str">
        <f>Solver!D76</f>
        <v/>
      </c>
      <c r="C17" s="10">
        <f>Solver!E76</f>
        <v>3.3306690738754696E-16</v>
      </c>
      <c r="D17" s="10">
        <f>Solver!F76</f>
        <v>-3.3306690738754696E-16</v>
      </c>
      <c r="E17" s="10">
        <f>Solver!G76</f>
        <v>-5.5511151231257827E-16</v>
      </c>
      <c r="F17" s="10">
        <f>Solver!H76</f>
        <v>-2.2204460492503131E-16</v>
      </c>
      <c r="G17" s="10">
        <f>Solver!I76</f>
        <v>-2.2204460492503131E-16</v>
      </c>
      <c r="H17" s="10">
        <f>Solver!J76</f>
        <v>-3.3306690738754696E-16</v>
      </c>
      <c r="I17" s="10">
        <f>Solver!K76</f>
        <v>2.7755575615628914E-16</v>
      </c>
      <c r="J17" s="10">
        <f>Solver!L76</f>
        <v>0</v>
      </c>
      <c r="K17" s="10">
        <f>Solver!M76</f>
        <v>0</v>
      </c>
      <c r="L17" s="10">
        <f>Solver!N76</f>
        <v>5.6513069804264314E-17</v>
      </c>
      <c r="M17" s="10">
        <f>Solver!O76</f>
        <v>5.8286708792820718E-16</v>
      </c>
      <c r="N17" s="10">
        <f>Solver!P76</f>
        <v>0</v>
      </c>
      <c r="O17" s="10">
        <f>Solver!Q76</f>
        <v>0</v>
      </c>
      <c r="P17" s="10">
        <f>Solver!R76</f>
        <v>-2.2204460492503131E-16</v>
      </c>
      <c r="Q17" s="10">
        <f>Solver!S76</f>
        <v>8.8817841970012523E-16</v>
      </c>
      <c r="R17" s="10">
        <f>Solver!T76</f>
        <v>-5.5511151231257827E-16</v>
      </c>
      <c r="S17" s="10">
        <f>Solver!U76</f>
        <v>0</v>
      </c>
      <c r="T17" s="10">
        <f>Solver!V76</f>
        <v>0</v>
      </c>
      <c r="U17" s="10">
        <f>Solver!W76</f>
        <v>-7.7715611723760958E-16</v>
      </c>
      <c r="V17" s="10" t="str">
        <f>Solver!X76</f>
        <v/>
      </c>
    </row>
    <row r="18" spans="1:22" x14ac:dyDescent="0.25">
      <c r="B18" s="10" t="str">
        <f>Solver!D77</f>
        <v/>
      </c>
      <c r="C18" s="10">
        <f>Solver!E77</f>
        <v>0</v>
      </c>
      <c r="D18" s="10">
        <f>Solver!F77</f>
        <v>1.1102230246251565E-15</v>
      </c>
      <c r="E18" s="10">
        <f>Solver!G77</f>
        <v>2.2204460492503131E-16</v>
      </c>
      <c r="F18" s="10">
        <f>Solver!H77</f>
        <v>4.4408920985006262E-16</v>
      </c>
      <c r="G18" s="10">
        <f>Solver!I77</f>
        <v>0</v>
      </c>
      <c r="H18" s="10">
        <f>Solver!J77</f>
        <v>0</v>
      </c>
      <c r="I18" s="10">
        <f>Solver!K77</f>
        <v>1.2212453270876722E-15</v>
      </c>
      <c r="J18" s="10">
        <f>Solver!L77</f>
        <v>-2.7755575615628914E-16</v>
      </c>
      <c r="K18" s="10">
        <f>Solver!M77</f>
        <v>0</v>
      </c>
      <c r="L18" s="10">
        <f>Solver!N77</f>
        <v>8.3188029131944867E-17</v>
      </c>
      <c r="M18" s="10">
        <f>Solver!O77</f>
        <v>2.7755575615628914E-16</v>
      </c>
      <c r="N18" s="10">
        <f>Solver!P77</f>
        <v>0</v>
      </c>
      <c r="O18" s="10">
        <f>Solver!Q77</f>
        <v>0</v>
      </c>
      <c r="P18" s="10">
        <f>Solver!R77</f>
        <v>-5.5511151231257827E-16</v>
      </c>
      <c r="Q18" s="10">
        <f>Solver!S77</f>
        <v>-1.1102230246251565E-15</v>
      </c>
      <c r="R18" s="10">
        <f>Solver!T77</f>
        <v>-8.8817841970012523E-16</v>
      </c>
      <c r="S18" s="10">
        <f>Solver!U77</f>
        <v>-8.8817841970012523E-16</v>
      </c>
      <c r="T18" s="10">
        <f>Solver!V77</f>
        <v>-1.9984014443252818E-15</v>
      </c>
      <c r="U18" s="10">
        <f>Solver!W77</f>
        <v>-6.6613381477509392E-16</v>
      </c>
      <c r="V18" s="10" t="str">
        <f>Solver!X77</f>
        <v/>
      </c>
    </row>
    <row r="19" spans="1:22" x14ac:dyDescent="0.25">
      <c r="B19" s="10" t="str">
        <f>Solver!D78</f>
        <v/>
      </c>
      <c r="C19" s="10">
        <f>Solver!E78</f>
        <v>-1.7763568394002505E-15</v>
      </c>
      <c r="D19" s="10">
        <f>Solver!F78</f>
        <v>-4.4408920985006262E-16</v>
      </c>
      <c r="E19" s="10">
        <f>Solver!G78</f>
        <v>-1.1102230246251565E-15</v>
      </c>
      <c r="F19" s="10">
        <f>Solver!H78</f>
        <v>-6.6613381477509392E-16</v>
      </c>
      <c r="G19" s="10">
        <f>Solver!I78</f>
        <v>-1.1102230246251565E-15</v>
      </c>
      <c r="H19" s="10">
        <f>Solver!J78</f>
        <v>-1.7763568394002505E-15</v>
      </c>
      <c r="I19" s="10">
        <f>Solver!K78</f>
        <v>1.2212453270876722E-15</v>
      </c>
      <c r="J19" s="10">
        <f>Solver!L78</f>
        <v>0</v>
      </c>
      <c r="K19" s="10">
        <f>Solver!M78</f>
        <v>-7.2164496600635175E-16</v>
      </c>
      <c r="L19" s="10">
        <f>Solver!N78</f>
        <v>1.0800470535289775E-16</v>
      </c>
      <c r="M19" s="10">
        <f>Solver!O78</f>
        <v>9.9920072216264089E-16</v>
      </c>
      <c r="N19" s="10">
        <f>Solver!P78</f>
        <v>2.2204460492503131E-16</v>
      </c>
      <c r="O19" s="10">
        <f>Solver!Q78</f>
        <v>5.5511151231257827E-16</v>
      </c>
      <c r="P19" s="10">
        <f>Solver!R78</f>
        <v>0</v>
      </c>
      <c r="Q19" s="10">
        <f>Solver!S78</f>
        <v>0</v>
      </c>
      <c r="R19" s="10">
        <f>Solver!T78</f>
        <v>0</v>
      </c>
      <c r="S19" s="10">
        <f>Solver!U78</f>
        <v>0</v>
      </c>
      <c r="T19" s="10">
        <f>Solver!V78</f>
        <v>8.8817841970012523E-16</v>
      </c>
      <c r="U19" s="10">
        <f>Solver!W78</f>
        <v>8.8817841970012523E-16</v>
      </c>
      <c r="V19" s="10" t="str">
        <f>Solver!X78</f>
        <v/>
      </c>
    </row>
    <row r="20" spans="1:22" x14ac:dyDescent="0.25">
      <c r="B20" s="10" t="str">
        <f>Solver!D79</f>
        <v/>
      </c>
      <c r="C20" s="10">
        <f>Solver!E79</f>
        <v>-4.4408920985006262E-16</v>
      </c>
      <c r="D20" s="10">
        <f>Solver!F79</f>
        <v>0</v>
      </c>
      <c r="E20" s="10">
        <f>Solver!G79</f>
        <v>2.2204460492503131E-16</v>
      </c>
      <c r="F20" s="10">
        <f>Solver!H79</f>
        <v>-6.6613381477509392E-16</v>
      </c>
      <c r="G20" s="10">
        <f>Solver!I79</f>
        <v>-6.6613381477509392E-16</v>
      </c>
      <c r="H20" s="10">
        <f>Solver!J79</f>
        <v>-6.6613381477509392E-16</v>
      </c>
      <c r="I20" s="10">
        <f>Solver!K79</f>
        <v>5.5511151231257827E-16</v>
      </c>
      <c r="J20" s="10">
        <f>Solver!L79</f>
        <v>-3.3306690738754696E-16</v>
      </c>
      <c r="K20" s="10">
        <f>Solver!M79</f>
        <v>0</v>
      </c>
      <c r="L20" s="10">
        <f>Solver!N79</f>
        <v>1.3040873492867008E-16</v>
      </c>
      <c r="M20" s="10">
        <f>Solver!O79</f>
        <v>7.2164496600635175E-16</v>
      </c>
      <c r="N20" s="10">
        <f>Solver!P79</f>
        <v>-8.8817841970012523E-16</v>
      </c>
      <c r="O20" s="10">
        <f>Solver!Q79</f>
        <v>1.1102230246251565E-15</v>
      </c>
      <c r="P20" s="10">
        <f>Solver!R79</f>
        <v>0</v>
      </c>
      <c r="Q20" s="10">
        <f>Solver!S79</f>
        <v>0</v>
      </c>
      <c r="R20" s="10">
        <f>Solver!T79</f>
        <v>-4.4408920985006262E-16</v>
      </c>
      <c r="S20" s="10">
        <f>Solver!U79</f>
        <v>-4.4408920985006262E-16</v>
      </c>
      <c r="T20" s="10">
        <f>Solver!V79</f>
        <v>0</v>
      </c>
      <c r="U20" s="10">
        <f>Solver!W79</f>
        <v>4.4408920985006262E-16</v>
      </c>
      <c r="V20" s="10" t="str">
        <f>Solver!X79</f>
        <v/>
      </c>
    </row>
    <row r="21" spans="1:22" x14ac:dyDescent="0.25">
      <c r="B21" s="10" t="str">
        <f>Solver!D80</f>
        <v/>
      </c>
      <c r="C21" s="10">
        <f>Solver!E80</f>
        <v>-1.3322676295501878E-15</v>
      </c>
      <c r="D21" s="10">
        <f>Solver!F80</f>
        <v>-2.2204460492503131E-15</v>
      </c>
      <c r="E21" s="10">
        <f>Solver!G80</f>
        <v>-1.3322676295501878E-15</v>
      </c>
      <c r="F21" s="10">
        <f>Solver!H80</f>
        <v>-1.1102230246251565E-15</v>
      </c>
      <c r="G21" s="10">
        <f>Solver!I80</f>
        <v>-2.4424906541753444E-15</v>
      </c>
      <c r="H21" s="10">
        <f>Solver!J80</f>
        <v>-1.7763568394002505E-15</v>
      </c>
      <c r="I21" s="10">
        <f>Solver!K80</f>
        <v>6.6613381477509392E-16</v>
      </c>
      <c r="J21" s="10">
        <f>Solver!L80</f>
        <v>-1.4432899320127035E-15</v>
      </c>
      <c r="K21" s="10">
        <f>Solver!M80</f>
        <v>-2.7755575615628914E-16</v>
      </c>
      <c r="L21" s="10">
        <f>Solver!N80</f>
        <v>1.4989964886008346E-16</v>
      </c>
      <c r="M21" s="10">
        <f>Solver!O80</f>
        <v>1.1657341758564144E-15</v>
      </c>
      <c r="N21" s="10">
        <f>Solver!P80</f>
        <v>5.5511151231257827E-16</v>
      </c>
      <c r="O21" s="10">
        <f>Solver!Q80</f>
        <v>8.8817841970012523E-16</v>
      </c>
      <c r="P21" s="10">
        <f>Solver!R80</f>
        <v>0</v>
      </c>
      <c r="Q21" s="10">
        <f>Solver!S80</f>
        <v>4.4408920985006262E-16</v>
      </c>
      <c r="R21" s="10">
        <f>Solver!T80</f>
        <v>0</v>
      </c>
      <c r="S21" s="10">
        <f>Solver!U80</f>
        <v>8.8817841970012523E-16</v>
      </c>
      <c r="T21" s="10">
        <f>Solver!V80</f>
        <v>8.8817841970012523E-16</v>
      </c>
      <c r="U21" s="10">
        <f>Solver!W80</f>
        <v>8.8817841970012523E-16</v>
      </c>
      <c r="V21" s="10" t="str">
        <f>Solver!X80</f>
        <v/>
      </c>
    </row>
    <row r="22" spans="1:22" x14ac:dyDescent="0.25">
      <c r="B22" s="10" t="str">
        <f>Solver!D81</f>
        <v/>
      </c>
      <c r="C22" s="10">
        <f>Solver!E81</f>
        <v>-8.8817841970012523E-16</v>
      </c>
      <c r="D22" s="10">
        <f>Solver!F81</f>
        <v>-1.3322676295501878E-15</v>
      </c>
      <c r="E22" s="10">
        <f>Solver!G81</f>
        <v>-1.3322676295501878E-15</v>
      </c>
      <c r="F22" s="10">
        <f>Solver!H81</f>
        <v>0</v>
      </c>
      <c r="G22" s="10">
        <f>Solver!I81</f>
        <v>-1.7763568394002505E-15</v>
      </c>
      <c r="H22" s="10">
        <f>Solver!J81</f>
        <v>-1.7763568394002505E-15</v>
      </c>
      <c r="I22" s="10">
        <f>Solver!K81</f>
        <v>8.8817841970012523E-16</v>
      </c>
      <c r="J22" s="10">
        <f>Solver!L81</f>
        <v>-5.5511151231257827E-16</v>
      </c>
      <c r="K22" s="10">
        <f>Solver!M81</f>
        <v>-4.9960036108132044E-16</v>
      </c>
      <c r="L22" s="10">
        <f>Solver!N81</f>
        <v>1.6604205233767593E-16</v>
      </c>
      <c r="M22" s="10">
        <f>Solver!O81</f>
        <v>1.3877787807814457E-15</v>
      </c>
      <c r="N22" s="10">
        <f>Solver!P81</f>
        <v>0</v>
      </c>
      <c r="O22" s="10">
        <f>Solver!Q81</f>
        <v>8.8817841970012523E-16</v>
      </c>
      <c r="P22" s="10">
        <f>Solver!R81</f>
        <v>0</v>
      </c>
      <c r="Q22" s="10">
        <f>Solver!S81</f>
        <v>4.4408920985006262E-16</v>
      </c>
      <c r="R22" s="10">
        <f>Solver!T81</f>
        <v>-8.8817841970012523E-16</v>
      </c>
      <c r="S22" s="10">
        <f>Solver!U81</f>
        <v>0</v>
      </c>
      <c r="T22" s="10">
        <f>Solver!V81</f>
        <v>-4.4408920985006262E-16</v>
      </c>
      <c r="U22" s="10">
        <f>Solver!W81</f>
        <v>-4.4408920985006262E-16</v>
      </c>
      <c r="V22" s="10" t="str">
        <f>Solver!X81</f>
        <v/>
      </c>
    </row>
    <row r="23" spans="1:22" x14ac:dyDescent="0.25">
      <c r="B23" s="10" t="str">
        <f>Solver!D82</f>
        <v/>
      </c>
      <c r="C23" s="10">
        <f>Solver!E82</f>
        <v>-1.7763568394002505E-15</v>
      </c>
      <c r="D23" s="10">
        <f>Solver!F82</f>
        <v>-4.4408920985006262E-16</v>
      </c>
      <c r="E23" s="10">
        <f>Solver!G82</f>
        <v>-1.3322676295501878E-15</v>
      </c>
      <c r="F23" s="10">
        <f>Solver!H82</f>
        <v>-8.8817841970012523E-16</v>
      </c>
      <c r="G23" s="10">
        <f>Solver!I82</f>
        <v>-1.1102230246251565E-15</v>
      </c>
      <c r="H23" s="10">
        <f>Solver!J82</f>
        <v>-6.6613381477509392E-16</v>
      </c>
      <c r="I23" s="10">
        <f>Solver!K82</f>
        <v>0</v>
      </c>
      <c r="J23" s="10">
        <f>Solver!L82</f>
        <v>-8.8817841970012523E-16</v>
      </c>
      <c r="K23" s="10">
        <f>Solver!M82</f>
        <v>3.3306690738754696E-16</v>
      </c>
      <c r="L23" s="10">
        <f>Solver!N82</f>
        <v>1.7847535074227674E-16</v>
      </c>
      <c r="M23" s="10">
        <f>Solver!O82</f>
        <v>7.2164496600635175E-16</v>
      </c>
      <c r="N23" s="10">
        <f>Solver!P82</f>
        <v>0</v>
      </c>
      <c r="O23" s="10">
        <f>Solver!Q82</f>
        <v>1.9984014443252818E-15</v>
      </c>
      <c r="P23" s="10">
        <f>Solver!R82</f>
        <v>-8.8817841970012523E-16</v>
      </c>
      <c r="Q23" s="10">
        <f>Solver!S82</f>
        <v>0</v>
      </c>
      <c r="R23" s="10">
        <f>Solver!T82</f>
        <v>-8.8817841970012523E-16</v>
      </c>
      <c r="S23" s="10">
        <f>Solver!U82</f>
        <v>4.4408920985006262E-16</v>
      </c>
      <c r="T23" s="10">
        <f>Solver!V82</f>
        <v>0</v>
      </c>
      <c r="U23" s="10">
        <f>Solver!W82</f>
        <v>4.4408920985006262E-16</v>
      </c>
      <c r="V23" s="10" t="str">
        <f>Solver!X82</f>
        <v/>
      </c>
    </row>
    <row r="24" spans="1:22" x14ac:dyDescent="0.25">
      <c r="B24" s="10" t="str">
        <f>Solver!D83</f>
        <v/>
      </c>
      <c r="C24" s="10">
        <f>Solver!E83</f>
        <v>-1.7763568394002505E-15</v>
      </c>
      <c r="D24" s="10">
        <f>Solver!F83</f>
        <v>-1.3322676295501878E-15</v>
      </c>
      <c r="E24" s="10">
        <f>Solver!G83</f>
        <v>-1.3322676295501878E-15</v>
      </c>
      <c r="F24" s="10">
        <f>Solver!H83</f>
        <v>-8.8817841970012523E-16</v>
      </c>
      <c r="G24" s="10">
        <f>Solver!I83</f>
        <v>-8.8817841970012523E-16</v>
      </c>
      <c r="H24" s="10">
        <f>Solver!J83</f>
        <v>-8.8817841970012523E-16</v>
      </c>
      <c r="I24" s="10">
        <f>Solver!K83</f>
        <v>1.3322676295501878E-15</v>
      </c>
      <c r="J24" s="10">
        <f>Solver!L83</f>
        <v>-1.7763568394002505E-15</v>
      </c>
      <c r="K24" s="10">
        <f>Solver!M83</f>
        <v>-7.2164496600635175E-16</v>
      </c>
      <c r="L24" s="10">
        <f>Solver!N83</f>
        <v>1.8692180473293435E-16</v>
      </c>
      <c r="M24" s="10">
        <f>Solver!O83</f>
        <v>1.7763568394002505E-15</v>
      </c>
      <c r="N24" s="10">
        <f>Solver!P83</f>
        <v>7.7715611723760958E-16</v>
      </c>
      <c r="O24" s="10">
        <f>Solver!Q83</f>
        <v>6.6613381477509392E-16</v>
      </c>
      <c r="P24" s="10">
        <f>Solver!R83</f>
        <v>-8.8817841970012523E-16</v>
      </c>
      <c r="Q24" s="10">
        <f>Solver!S83</f>
        <v>-4.4408920985006262E-16</v>
      </c>
      <c r="R24" s="10">
        <f>Solver!T83</f>
        <v>-8.8817841970012523E-16</v>
      </c>
      <c r="S24" s="10">
        <f>Solver!U83</f>
        <v>4.4408920985006262E-16</v>
      </c>
      <c r="T24" s="10">
        <f>Solver!V83</f>
        <v>-4.4408920985006262E-16</v>
      </c>
      <c r="U24" s="10">
        <f>Solver!W83</f>
        <v>0</v>
      </c>
      <c r="V24" s="10" t="str">
        <f>Solver!X83</f>
        <v/>
      </c>
    </row>
    <row r="25" spans="1:22" x14ac:dyDescent="0.25">
      <c r="B25" s="10" t="str">
        <f>Solver!D84</f>
        <v/>
      </c>
      <c r="C25" s="10" t="str">
        <f>Solver!E84</f>
        <v/>
      </c>
      <c r="D25" s="10" t="str">
        <f>Solver!F84</f>
        <v/>
      </c>
      <c r="E25" s="10" t="str">
        <f>Solver!G84</f>
        <v/>
      </c>
      <c r="F25" s="10" t="str">
        <f>Solver!H84</f>
        <v/>
      </c>
      <c r="G25" s="10" t="str">
        <f>Solver!I84</f>
        <v/>
      </c>
      <c r="H25" s="10" t="str">
        <f>Solver!J84</f>
        <v/>
      </c>
      <c r="I25" s="10" t="str">
        <f>Solver!K84</f>
        <v/>
      </c>
      <c r="J25" s="10" t="str">
        <f>Solver!L84</f>
        <v/>
      </c>
      <c r="K25" s="10" t="str">
        <f>Solver!M84</f>
        <v/>
      </c>
      <c r="L25" s="10" t="str">
        <f>Solver!N84</f>
        <v/>
      </c>
      <c r="M25" s="10" t="str">
        <f>Solver!O84</f>
        <v/>
      </c>
      <c r="N25" s="10" t="str">
        <f>Solver!P84</f>
        <v/>
      </c>
      <c r="O25" s="10" t="str">
        <f>Solver!Q84</f>
        <v/>
      </c>
      <c r="P25" s="10" t="str">
        <f>Solver!R84</f>
        <v/>
      </c>
      <c r="Q25" s="10" t="str">
        <f>Solver!S84</f>
        <v/>
      </c>
      <c r="R25" s="10" t="str">
        <f>Solver!T84</f>
        <v/>
      </c>
      <c r="S25" s="10" t="str">
        <f>Solver!U84</f>
        <v/>
      </c>
      <c r="T25" s="10" t="str">
        <f>Solver!V84</f>
        <v/>
      </c>
      <c r="U25" s="10" t="str">
        <f>Solver!W84</f>
        <v/>
      </c>
      <c r="V25" s="10" t="str">
        <f>Solver!X84</f>
        <v/>
      </c>
    </row>
    <row r="28" spans="1:22" ht="15.75" x14ac:dyDescent="0.25">
      <c r="A28" s="5" t="s">
        <v>94</v>
      </c>
    </row>
    <row r="29" spans="1:22" x14ac:dyDescent="0.25">
      <c r="B29" s="10" t="str">
        <f>Solver!D148</f>
        <v/>
      </c>
      <c r="C29" s="10" t="str">
        <f>Solver!E148</f>
        <v/>
      </c>
      <c r="D29" s="10" t="str">
        <f>Solver!F148</f>
        <v/>
      </c>
      <c r="E29" s="10" t="str">
        <f>Solver!G148</f>
        <v/>
      </c>
      <c r="F29" s="10" t="str">
        <f>Solver!H148</f>
        <v/>
      </c>
      <c r="G29" s="10" t="str">
        <f>Solver!I148</f>
        <v/>
      </c>
      <c r="H29" s="10" t="str">
        <f>Solver!J148</f>
        <v/>
      </c>
      <c r="I29" s="10" t="str">
        <f>Solver!K148</f>
        <v/>
      </c>
      <c r="J29" s="10" t="str">
        <f>Solver!L148</f>
        <v/>
      </c>
      <c r="K29" s="10" t="str">
        <f>Solver!M148</f>
        <v/>
      </c>
      <c r="L29" s="10" t="str">
        <f>Solver!N148</f>
        <v/>
      </c>
      <c r="M29" s="10" t="str">
        <f>Solver!O148</f>
        <v/>
      </c>
      <c r="N29" s="10" t="str">
        <f>Solver!P148</f>
        <v/>
      </c>
      <c r="O29" s="10" t="str">
        <f>Solver!Q148</f>
        <v/>
      </c>
      <c r="P29" s="10" t="str">
        <f>Solver!R148</f>
        <v/>
      </c>
      <c r="Q29" s="10" t="str">
        <f>Solver!S148</f>
        <v/>
      </c>
      <c r="R29" s="10" t="str">
        <f>Solver!T148</f>
        <v/>
      </c>
      <c r="S29" s="10" t="str">
        <f>Solver!U148</f>
        <v/>
      </c>
      <c r="T29" s="10" t="str">
        <f>Solver!V148</f>
        <v/>
      </c>
      <c r="U29" s="10" t="str">
        <f>Solver!W148</f>
        <v/>
      </c>
      <c r="V29" s="10" t="str">
        <f>Solver!X148</f>
        <v/>
      </c>
    </row>
    <row r="30" spans="1:22" x14ac:dyDescent="0.25">
      <c r="B30" s="10" t="str">
        <f>Solver!D149</f>
        <v/>
      </c>
      <c r="C30" s="10">
        <f>Solver!E149</f>
        <v>0.67900366521826561</v>
      </c>
      <c r="D30" s="10">
        <f>Solver!F149</f>
        <v>0.64832145975835087</v>
      </c>
      <c r="E30" s="10">
        <f>Solver!G149</f>
        <v>0.60315682420639749</v>
      </c>
      <c r="F30" s="10">
        <f>Solver!H149</f>
        <v>0.54451866188832232</v>
      </c>
      <c r="G30" s="10">
        <f>Solver!I149</f>
        <v>0.47371685245366518</v>
      </c>
      <c r="H30" s="10">
        <f>Solver!J149</f>
        <v>0.39233299132872756</v>
      </c>
      <c r="I30" s="10">
        <f>Solver!K149</f>
        <v>0.30218505948825813</v>
      </c>
      <c r="J30" s="10">
        <f>Solver!L149</f>
        <v>0.2052868127646007</v>
      </c>
      <c r="K30" s="10">
        <f>Solver!M149</f>
        <v>0.10380279787002868</v>
      </c>
      <c r="L30" s="10">
        <f>Solver!N149</f>
        <v>0</v>
      </c>
      <c r="M30" s="10">
        <f>Solver!O149</f>
        <v>-0.10380279787002868</v>
      </c>
      <c r="N30" s="10">
        <f>Solver!P149</f>
        <v>-0.2052868127646007</v>
      </c>
      <c r="O30" s="10">
        <f>Solver!Q149</f>
        <v>-0.30218505948825841</v>
      </c>
      <c r="P30" s="10">
        <f>Solver!R149</f>
        <v>-0.39233299132872701</v>
      </c>
      <c r="Q30" s="10">
        <f>Solver!S149</f>
        <v>-0.47371685245366463</v>
      </c>
      <c r="R30" s="10">
        <f>Solver!T149</f>
        <v>-0.54451866188832199</v>
      </c>
      <c r="S30" s="10">
        <f>Solver!U149</f>
        <v>-0.60315682420639716</v>
      </c>
      <c r="T30" s="10">
        <f>Solver!V149</f>
        <v>-0.64832145975835054</v>
      </c>
      <c r="U30" s="10">
        <f>Solver!W149</f>
        <v>-0.67900366521826538</v>
      </c>
      <c r="V30" s="10" t="str">
        <f>Solver!X149</f>
        <v/>
      </c>
    </row>
    <row r="31" spans="1:22" x14ac:dyDescent="0.25">
      <c r="B31" s="10" t="str">
        <f>Solver!D150</f>
        <v/>
      </c>
      <c r="C31" s="10">
        <f>Solver!E150</f>
        <v>1.1148069990038731</v>
      </c>
      <c r="D31" s="10">
        <f>Solver!F150</f>
        <v>1.0644321054006218</v>
      </c>
      <c r="E31" s="10">
        <f>Solver!G150</f>
        <v>0.99027955748382723</v>
      </c>
      <c r="F31" s="10">
        <f>Solver!H150</f>
        <v>0.89400580064055268</v>
      </c>
      <c r="G31" s="10">
        <f>Solver!I150</f>
        <v>0.7777614315110839</v>
      </c>
      <c r="H31" s="10">
        <f>Solver!J150</f>
        <v>0.6441431572137345</v>
      </c>
      <c r="I31" s="10">
        <f>Solver!K150</f>
        <v>0.49613578919875567</v>
      </c>
      <c r="J31" s="10">
        <f>Solver!L150</f>
        <v>0.33704556749278985</v>
      </c>
      <c r="K31" s="10">
        <f>Solver!M150</f>
        <v>0.17042630476006929</v>
      </c>
      <c r="L31" s="10">
        <f>Solver!N150</f>
        <v>0</v>
      </c>
      <c r="M31" s="10">
        <f>Solver!O150</f>
        <v>-0.17042630476006929</v>
      </c>
      <c r="N31" s="10">
        <f>Solver!P150</f>
        <v>-0.33704556749278985</v>
      </c>
      <c r="O31" s="10">
        <f>Solver!Q150</f>
        <v>-0.49613578919875623</v>
      </c>
      <c r="P31" s="10">
        <f>Solver!R150</f>
        <v>-0.64414315721373394</v>
      </c>
      <c r="Q31" s="10">
        <f>Solver!S150</f>
        <v>-0.77776143151108301</v>
      </c>
      <c r="R31" s="10">
        <f>Solver!T150</f>
        <v>-0.8940058006405518</v>
      </c>
      <c r="S31" s="10">
        <f>Solver!U150</f>
        <v>-0.99027955748382634</v>
      </c>
      <c r="T31" s="10">
        <f>Solver!V150</f>
        <v>-1.0644321054006212</v>
      </c>
      <c r="U31" s="10">
        <f>Solver!W150</f>
        <v>-1.1148069990038725</v>
      </c>
      <c r="V31" s="10" t="str">
        <f>Solver!X150</f>
        <v/>
      </c>
    </row>
    <row r="32" spans="1:22" x14ac:dyDescent="0.25">
      <c r="B32" s="10" t="str">
        <f>Solver!D151</f>
        <v/>
      </c>
      <c r="C32" s="10">
        <f>Solver!E151</f>
        <v>1.5257073865948463</v>
      </c>
      <c r="D32" s="10">
        <f>Solver!F151</f>
        <v>1.4567650967293493</v>
      </c>
      <c r="E32" s="10">
        <f>Solver!G151</f>
        <v>1.3552810818347769</v>
      </c>
      <c r="F32" s="10">
        <f>Solver!H151</f>
        <v>1.2235223271065878</v>
      </c>
      <c r="G32" s="10">
        <f>Solver!I151</f>
        <v>1.0644321054006225</v>
      </c>
      <c r="H32" s="10">
        <f>Solver!J151</f>
        <v>0.88156422938111223</v>
      </c>
      <c r="I32" s="10">
        <f>Solver!K151</f>
        <v>0.67900366521826538</v>
      </c>
      <c r="J32" s="10">
        <f>Solver!L151</f>
        <v>0.46127528119422484</v>
      </c>
      <c r="K32" s="10">
        <f>Solver!M151</f>
        <v>0.23324276962276144</v>
      </c>
      <c r="L32" s="10">
        <f>Solver!N151</f>
        <v>0</v>
      </c>
      <c r="M32" s="10">
        <f>Solver!O151</f>
        <v>-0.23324276962276144</v>
      </c>
      <c r="N32" s="10">
        <f>Solver!P151</f>
        <v>-0.46127528119422423</v>
      </c>
      <c r="O32" s="10">
        <f>Solver!Q151</f>
        <v>-0.67900366521826594</v>
      </c>
      <c r="P32" s="10">
        <f>Solver!R151</f>
        <v>-0.88156422938111167</v>
      </c>
      <c r="Q32" s="10">
        <f>Solver!S151</f>
        <v>-1.0644321054006214</v>
      </c>
      <c r="R32" s="10">
        <f>Solver!T151</f>
        <v>-1.2235223271065871</v>
      </c>
      <c r="S32" s="10">
        <f>Solver!U151</f>
        <v>-1.355281081834776</v>
      </c>
      <c r="T32" s="10">
        <f>Solver!V151</f>
        <v>-1.456765096729348</v>
      </c>
      <c r="U32" s="10">
        <f>Solver!W151</f>
        <v>-1.5257073865948456</v>
      </c>
      <c r="V32" s="10" t="str">
        <f>Solver!X151</f>
        <v/>
      </c>
    </row>
    <row r="33" spans="2:22" x14ac:dyDescent="0.25">
      <c r="B33" s="10" t="str">
        <f>Solver!D152</f>
        <v/>
      </c>
      <c r="C33" s="10">
        <f>Solver!E152</f>
        <v>1.9025259923248541</v>
      </c>
      <c r="D33" s="10">
        <f>Solver!F152</f>
        <v>1.8165563630290011</v>
      </c>
      <c r="E33" s="10">
        <f>Solver!G152</f>
        <v>1.6900078663521101</v>
      </c>
      <c r="F33" s="10">
        <f>Solver!H152</f>
        <v>1.5257073865948463</v>
      </c>
      <c r="G33" s="10">
        <f>Solver!I152</f>
        <v>1.3273251249766174</v>
      </c>
      <c r="H33" s="10">
        <f>Solver!J152</f>
        <v>1.0992926134051539</v>
      </c>
      <c r="I33" s="10">
        <f>Solver!K152</f>
        <v>0.84670372137658023</v>
      </c>
      <c r="J33" s="10">
        <f>Solver!L152</f>
        <v>0.5752008673482375</v>
      </c>
      <c r="K33" s="10">
        <f>Solver!M152</f>
        <v>0.29084897643415553</v>
      </c>
      <c r="L33" s="10">
        <f>Solver!N152</f>
        <v>0</v>
      </c>
      <c r="M33" s="10">
        <f>Solver!O152</f>
        <v>-0.29084897643415553</v>
      </c>
      <c r="N33" s="10">
        <f>Solver!P152</f>
        <v>-0.5752008673482375</v>
      </c>
      <c r="O33" s="10">
        <f>Solver!Q152</f>
        <v>-0.84670372137658023</v>
      </c>
      <c r="P33" s="10">
        <f>Solver!R152</f>
        <v>-1.0992926134051522</v>
      </c>
      <c r="Q33" s="10">
        <f>Solver!S152</f>
        <v>-1.3273251249766163</v>
      </c>
      <c r="R33" s="10">
        <f>Solver!T152</f>
        <v>-1.5257073865948449</v>
      </c>
      <c r="S33" s="10">
        <f>Solver!U152</f>
        <v>-1.6900078663521094</v>
      </c>
      <c r="T33" s="10">
        <f>Solver!V152</f>
        <v>-1.8165563630290003</v>
      </c>
      <c r="U33" s="10">
        <f>Solver!W152</f>
        <v>-1.9025259923248528</v>
      </c>
      <c r="V33" s="10" t="str">
        <f>Solver!X152</f>
        <v/>
      </c>
    </row>
    <row r="34" spans="2:22" x14ac:dyDescent="0.25">
      <c r="B34" s="10" t="str">
        <f>Solver!D153</f>
        <v/>
      </c>
      <c r="C34" s="10">
        <f>Solver!E153</f>
        <v>2.2368453112158893</v>
      </c>
      <c r="D34" s="10">
        <f>Solver!F153</f>
        <v>2.1357687619476144</v>
      </c>
      <c r="E34" s="10">
        <f>Solver!G153</f>
        <v>1.9869826677890705</v>
      </c>
      <c r="F34" s="10">
        <f>Solver!H153</f>
        <v>1.7938106642221385</v>
      </c>
      <c r="G34" s="10">
        <f>Solver!I153</f>
        <v>1.5605678945993782</v>
      </c>
      <c r="H34" s="10">
        <f>Solver!J153</f>
        <v>1.2924646169720853</v>
      </c>
      <c r="I34" s="10">
        <f>Solver!K153</f>
        <v>0.99548981553512439</v>
      </c>
      <c r="J34" s="10">
        <f>Solver!L153</f>
        <v>0.67627741661651275</v>
      </c>
      <c r="K34" s="10">
        <f>Solver!M153</f>
        <v>0.34195809772547664</v>
      </c>
      <c r="L34" s="10">
        <f>Solver!N153</f>
        <v>0</v>
      </c>
      <c r="M34" s="10">
        <f>Solver!O153</f>
        <v>-0.34195809772547664</v>
      </c>
      <c r="N34" s="10">
        <f>Solver!P153</f>
        <v>-0.67627741661651153</v>
      </c>
      <c r="O34" s="10">
        <f>Solver!Q153</f>
        <v>-0.99548981553512439</v>
      </c>
      <c r="P34" s="10">
        <f>Solver!R153</f>
        <v>-1.2924646169720841</v>
      </c>
      <c r="Q34" s="10">
        <f>Solver!S153</f>
        <v>-1.5605678945993771</v>
      </c>
      <c r="R34" s="10">
        <f>Solver!T153</f>
        <v>-1.7938106642221379</v>
      </c>
      <c r="S34" s="10">
        <f>Solver!U153</f>
        <v>-1.9869826677890692</v>
      </c>
      <c r="T34" s="10">
        <f>Solver!V153</f>
        <v>-2.1357687619476131</v>
      </c>
      <c r="U34" s="10">
        <f>Solver!W153</f>
        <v>-2.2368453112158879</v>
      </c>
      <c r="V34" s="10" t="str">
        <f>Solver!X153</f>
        <v/>
      </c>
    </row>
    <row r="35" spans="2:22" x14ac:dyDescent="0.25">
      <c r="B35" s="10" t="str">
        <f>Solver!D154</f>
        <v/>
      </c>
      <c r="C35" s="10">
        <f>Solver!E154</f>
        <v>2.5211972021299718</v>
      </c>
      <c r="D35" s="10">
        <f>Solver!F154</f>
        <v>2.4072716159759584</v>
      </c>
      <c r="E35" s="10">
        <f>Solver!G154</f>
        <v>2.2395715598176436</v>
      </c>
      <c r="F35" s="10">
        <f>Solver!H154</f>
        <v>2.021843175793602</v>
      </c>
      <c r="G35" s="10">
        <f>Solver!I154</f>
        <v>1.7589501562176082</v>
      </c>
      <c r="H35" s="10">
        <f>Solver!J154</f>
        <v>1.4567650967293497</v>
      </c>
      <c r="I35" s="10">
        <f>Solver!K154</f>
        <v>1.1220383122120154</v>
      </c>
      <c r="J35" s="10">
        <f>Solver!L154</f>
        <v>0.7622470459123647</v>
      </c>
      <c r="K35" s="10">
        <f>Solver!M154</f>
        <v>0.38542844018235717</v>
      </c>
      <c r="L35" s="10">
        <f>Solver!N154</f>
        <v>0</v>
      </c>
      <c r="M35" s="10">
        <f>Solver!O154</f>
        <v>-0.38542844018235717</v>
      </c>
      <c r="N35" s="10">
        <f>Solver!P154</f>
        <v>-0.76224704591236347</v>
      </c>
      <c r="O35" s="10">
        <f>Solver!Q154</f>
        <v>-1.1220383122120154</v>
      </c>
      <c r="P35" s="10">
        <f>Solver!R154</f>
        <v>-1.4567650967293486</v>
      </c>
      <c r="Q35" s="10">
        <f>Solver!S154</f>
        <v>-1.7589501562176071</v>
      </c>
      <c r="R35" s="10">
        <f>Solver!T154</f>
        <v>-2.0218431757936006</v>
      </c>
      <c r="S35" s="10">
        <f>Solver!U154</f>
        <v>-2.2395715598176422</v>
      </c>
      <c r="T35" s="10">
        <f>Solver!V154</f>
        <v>-2.4072716159759571</v>
      </c>
      <c r="U35" s="10">
        <f>Solver!W154</f>
        <v>-2.5211972021299704</v>
      </c>
      <c r="V35" s="10" t="str">
        <f>Solver!X154</f>
        <v/>
      </c>
    </row>
    <row r="36" spans="2:22" x14ac:dyDescent="0.25">
      <c r="B36" s="10" t="str">
        <f>Solver!D155</f>
        <v/>
      </c>
      <c r="C36" s="10">
        <f>Solver!E155</f>
        <v>2.7492297137014345</v>
      </c>
      <c r="D36" s="10">
        <f>Solver!F155</f>
        <v>2.6249999999999991</v>
      </c>
      <c r="E36" s="10">
        <f>Solver!G155</f>
        <v>2.4421321239804898</v>
      </c>
      <c r="F36" s="10">
        <f>Solver!H155</f>
        <v>2.2047110518131117</v>
      </c>
      <c r="G36" s="10">
        <f>Solver!I155</f>
        <v>1.918040377923574</v>
      </c>
      <c r="H36" s="10">
        <f>Solver!J155</f>
        <v>1.5885238514575384</v>
      </c>
      <c r="I36" s="10">
        <f>Solver!K155</f>
        <v>1.2235223271065878</v>
      </c>
      <c r="J36" s="10">
        <f>Solver!L155</f>
        <v>0.83118933577786225</v>
      </c>
      <c r="K36" s="10">
        <f>Solver!M155</f>
        <v>0.420288948186888</v>
      </c>
      <c r="L36" s="10">
        <f>Solver!N155</f>
        <v>0</v>
      </c>
      <c r="M36" s="10">
        <f>Solver!O155</f>
        <v>-0.420288948186888</v>
      </c>
      <c r="N36" s="10">
        <f>Solver!P155</f>
        <v>-0.83118933577786103</v>
      </c>
      <c r="O36" s="10">
        <f>Solver!Q155</f>
        <v>-1.2235223271065889</v>
      </c>
      <c r="P36" s="10">
        <f>Solver!R155</f>
        <v>-1.5885238514575373</v>
      </c>
      <c r="Q36" s="10">
        <f>Solver!S155</f>
        <v>-1.9180403779235717</v>
      </c>
      <c r="R36" s="10">
        <f>Solver!T155</f>
        <v>-2.2047110518131103</v>
      </c>
      <c r="S36" s="10">
        <f>Solver!U155</f>
        <v>-2.4421321239804885</v>
      </c>
      <c r="T36" s="10">
        <f>Solver!V155</f>
        <v>-2.6249999999999973</v>
      </c>
      <c r="U36" s="10">
        <f>Solver!W155</f>
        <v>-2.7492297137014328</v>
      </c>
      <c r="V36" s="10" t="str">
        <f>Solver!X155</f>
        <v/>
      </c>
    </row>
    <row r="37" spans="2:22" x14ac:dyDescent="0.25">
      <c r="B37" s="10" t="str">
        <f>Solver!D156</f>
        <v/>
      </c>
      <c r="C37" s="10">
        <f>Solver!E156</f>
        <v>2.9158489764341553</v>
      </c>
      <c r="D37" s="10">
        <f>Solver!F156</f>
        <v>2.784090221705966</v>
      </c>
      <c r="E37" s="10">
        <f>Solver!G156</f>
        <v>2.5901394919954681</v>
      </c>
      <c r="F37" s="10">
        <f>Solver!H156</f>
        <v>2.3383293261104607</v>
      </c>
      <c r="G37" s="10">
        <f>Solver!I156</f>
        <v>2.0342847470530434</v>
      </c>
      <c r="H37" s="10">
        <f>Solver!J156</f>
        <v>1.6847976083008132</v>
      </c>
      <c r="I37" s="10">
        <f>Solver!K156</f>
        <v>1.2976748750233829</v>
      </c>
      <c r="J37" s="10">
        <f>Solver!L156</f>
        <v>0.88156422938111223</v>
      </c>
      <c r="K37" s="10">
        <f>Solver!M156</f>
        <v>0.44576089559550502</v>
      </c>
      <c r="L37" s="10">
        <f>Solver!N156</f>
        <v>0</v>
      </c>
      <c r="M37" s="10">
        <f>Solver!O156</f>
        <v>-0.44576089559550502</v>
      </c>
      <c r="N37" s="10">
        <f>Solver!P156</f>
        <v>-0.88156422938111112</v>
      </c>
      <c r="O37" s="10">
        <f>Solver!Q156</f>
        <v>-1.297674875023384</v>
      </c>
      <c r="P37" s="10">
        <f>Solver!R156</f>
        <v>-1.684797608300812</v>
      </c>
      <c r="Q37" s="10">
        <f>Solver!S156</f>
        <v>-2.0342847470530412</v>
      </c>
      <c r="R37" s="10">
        <f>Solver!T156</f>
        <v>-2.338329326110459</v>
      </c>
      <c r="S37" s="10">
        <f>Solver!U156</f>
        <v>-2.5901394919954668</v>
      </c>
      <c r="T37" s="10">
        <f>Solver!V156</f>
        <v>-2.7840902217059642</v>
      </c>
      <c r="U37" s="10">
        <f>Solver!W156</f>
        <v>-2.9158489764341535</v>
      </c>
      <c r="V37" s="10" t="str">
        <f>Solver!X156</f>
        <v/>
      </c>
    </row>
    <row r="38" spans="2:22" x14ac:dyDescent="0.25">
      <c r="B38" s="10" t="str">
        <f>Solver!D157</f>
        <v/>
      </c>
      <c r="C38" s="10">
        <f>Solver!E157</f>
        <v>3.0173329913287272</v>
      </c>
      <c r="D38" s="10">
        <f>Solver!F157</f>
        <v>2.8809884684296239</v>
      </c>
      <c r="E38" s="10">
        <f>Solver!G157</f>
        <v>2.6802874238359378</v>
      </c>
      <c r="F38" s="10">
        <f>Solver!H157</f>
        <v>2.4197131872353994</v>
      </c>
      <c r="G38" s="10">
        <f>Solver!I157</f>
        <v>2.1050865564877013</v>
      </c>
      <c r="H38" s="10">
        <f>Solver!J157</f>
        <v>1.7434357706188879</v>
      </c>
      <c r="I38" s="10">
        <f>Solver!K157</f>
        <v>1.3428395105753355</v>
      </c>
      <c r="J38" s="10">
        <f>Solver!L157</f>
        <v>0.91224643484102674</v>
      </c>
      <c r="K38" s="10">
        <f>Solver!M157</f>
        <v>0.46127528119422539</v>
      </c>
      <c r="L38" s="10">
        <f>Solver!N157</f>
        <v>0</v>
      </c>
      <c r="M38" s="10">
        <f>Solver!O157</f>
        <v>-0.46127528119422539</v>
      </c>
      <c r="N38" s="10">
        <f>Solver!P157</f>
        <v>-0.91224643484102563</v>
      </c>
      <c r="O38" s="10">
        <f>Solver!Q157</f>
        <v>-1.3428395105753366</v>
      </c>
      <c r="P38" s="10">
        <f>Solver!R157</f>
        <v>-1.7434357706188868</v>
      </c>
      <c r="Q38" s="10">
        <f>Solver!S157</f>
        <v>-2.105086556487699</v>
      </c>
      <c r="R38" s="10">
        <f>Solver!T157</f>
        <v>-2.4197131872353976</v>
      </c>
      <c r="S38" s="10">
        <f>Solver!U157</f>
        <v>-2.680287423835936</v>
      </c>
      <c r="T38" s="10">
        <f>Solver!V157</f>
        <v>-2.8809884684296212</v>
      </c>
      <c r="U38" s="10">
        <f>Solver!W157</f>
        <v>-3.0173329913287259</v>
      </c>
      <c r="V38" s="10" t="str">
        <f>Solver!X157</f>
        <v/>
      </c>
    </row>
    <row r="39" spans="2:22" x14ac:dyDescent="0.25">
      <c r="B39" s="10" t="str">
        <f>Solver!D158</f>
        <v/>
      </c>
      <c r="C39" s="10">
        <f>Solver!E158</f>
        <v>3.051414773189693</v>
      </c>
      <c r="D39" s="10">
        <f>Solver!F158</f>
        <v>2.9135301934586986</v>
      </c>
      <c r="E39" s="10">
        <f>Solver!G158</f>
        <v>2.7105621636695543</v>
      </c>
      <c r="F39" s="10">
        <f>Solver!H158</f>
        <v>2.4470446542131761</v>
      </c>
      <c r="G39" s="10">
        <f>Solver!I158</f>
        <v>2.128864210801245</v>
      </c>
      <c r="H39" s="10">
        <f>Solver!J158</f>
        <v>1.7631284587622245</v>
      </c>
      <c r="I39" s="10">
        <f>Solver!K158</f>
        <v>1.3580073304365308</v>
      </c>
      <c r="J39" s="10">
        <f>Solver!L158</f>
        <v>0.92255056238844968</v>
      </c>
      <c r="K39" s="10">
        <f>Solver!M158</f>
        <v>0.46648553924552288</v>
      </c>
      <c r="L39" s="10">
        <f>Solver!N158</f>
        <v>0</v>
      </c>
      <c r="M39" s="10">
        <f>Solver!O158</f>
        <v>-0.46648553924552288</v>
      </c>
      <c r="N39" s="10">
        <f>Solver!P158</f>
        <v>-0.92255056238844846</v>
      </c>
      <c r="O39" s="10">
        <f>Solver!Q158</f>
        <v>-1.3580073304365319</v>
      </c>
      <c r="P39" s="10">
        <f>Solver!R158</f>
        <v>-1.7631284587622233</v>
      </c>
      <c r="Q39" s="10">
        <f>Solver!S158</f>
        <v>-2.1288642108012428</v>
      </c>
      <c r="R39" s="10">
        <f>Solver!T158</f>
        <v>-2.4470446542131743</v>
      </c>
      <c r="S39" s="10">
        <f>Solver!U158</f>
        <v>-2.7105621636695525</v>
      </c>
      <c r="T39" s="10">
        <f>Solver!V158</f>
        <v>-2.9135301934586968</v>
      </c>
      <c r="U39" s="10">
        <f>Solver!W158</f>
        <v>-3.0514147731896912</v>
      </c>
      <c r="V39" s="10" t="str">
        <f>Solver!X158</f>
        <v/>
      </c>
    </row>
    <row r="40" spans="2:22" x14ac:dyDescent="0.25">
      <c r="B40" s="10" t="str">
        <f>Solver!D159</f>
        <v/>
      </c>
      <c r="C40" s="10">
        <f>Solver!E159</f>
        <v>3.0173329913287272</v>
      </c>
      <c r="D40" s="10">
        <f>Solver!F159</f>
        <v>2.8809884684296239</v>
      </c>
      <c r="E40" s="10">
        <f>Solver!G159</f>
        <v>2.6802874238359378</v>
      </c>
      <c r="F40" s="10">
        <f>Solver!H159</f>
        <v>2.4197131872353994</v>
      </c>
      <c r="G40" s="10">
        <f>Solver!I159</f>
        <v>2.1050865564877013</v>
      </c>
      <c r="H40" s="10">
        <f>Solver!J159</f>
        <v>1.7434357706188879</v>
      </c>
      <c r="I40" s="10">
        <f>Solver!K159</f>
        <v>1.3428395105753355</v>
      </c>
      <c r="J40" s="10">
        <f>Solver!L159</f>
        <v>0.91224643484102674</v>
      </c>
      <c r="K40" s="10">
        <f>Solver!M159</f>
        <v>0.46127528119422539</v>
      </c>
      <c r="L40" s="10">
        <f>Solver!N159</f>
        <v>0</v>
      </c>
      <c r="M40" s="10">
        <f>Solver!O159</f>
        <v>-0.46127528119422539</v>
      </c>
      <c r="N40" s="10">
        <f>Solver!P159</f>
        <v>-0.91224643484102563</v>
      </c>
      <c r="O40" s="10">
        <f>Solver!Q159</f>
        <v>-1.3428395105753366</v>
      </c>
      <c r="P40" s="10">
        <f>Solver!R159</f>
        <v>-1.7434357706188868</v>
      </c>
      <c r="Q40" s="10">
        <f>Solver!S159</f>
        <v>-2.105086556487699</v>
      </c>
      <c r="R40" s="10">
        <f>Solver!T159</f>
        <v>-2.4197131872353976</v>
      </c>
      <c r="S40" s="10">
        <f>Solver!U159</f>
        <v>-2.680287423835936</v>
      </c>
      <c r="T40" s="10">
        <f>Solver!V159</f>
        <v>-2.8809884684296212</v>
      </c>
      <c r="U40" s="10">
        <f>Solver!W159</f>
        <v>-3.0173329913287259</v>
      </c>
      <c r="V40" s="10" t="str">
        <f>Solver!X159</f>
        <v/>
      </c>
    </row>
    <row r="41" spans="2:22" x14ac:dyDescent="0.25">
      <c r="B41" s="10" t="str">
        <f>Solver!D160</f>
        <v/>
      </c>
      <c r="C41" s="10">
        <f>Solver!E160</f>
        <v>2.9158489764341553</v>
      </c>
      <c r="D41" s="10">
        <f>Solver!F160</f>
        <v>2.784090221705966</v>
      </c>
      <c r="E41" s="10">
        <f>Solver!G160</f>
        <v>2.5901394919954681</v>
      </c>
      <c r="F41" s="10">
        <f>Solver!H160</f>
        <v>2.3383293261104607</v>
      </c>
      <c r="G41" s="10">
        <f>Solver!I160</f>
        <v>2.0342847470530434</v>
      </c>
      <c r="H41" s="10">
        <f>Solver!J160</f>
        <v>1.6847976083008132</v>
      </c>
      <c r="I41" s="10">
        <f>Solver!K160</f>
        <v>1.2976748750233829</v>
      </c>
      <c r="J41" s="10">
        <f>Solver!L160</f>
        <v>0.88156422938111223</v>
      </c>
      <c r="K41" s="10">
        <f>Solver!M160</f>
        <v>0.44576089559550502</v>
      </c>
      <c r="L41" s="10">
        <f>Solver!N160</f>
        <v>0</v>
      </c>
      <c r="M41" s="10">
        <f>Solver!O160</f>
        <v>-0.44576089559550502</v>
      </c>
      <c r="N41" s="10">
        <f>Solver!P160</f>
        <v>-0.88156422938111112</v>
      </c>
      <c r="O41" s="10">
        <f>Solver!Q160</f>
        <v>-1.297674875023384</v>
      </c>
      <c r="P41" s="10">
        <f>Solver!R160</f>
        <v>-1.684797608300812</v>
      </c>
      <c r="Q41" s="10">
        <f>Solver!S160</f>
        <v>-2.0342847470530412</v>
      </c>
      <c r="R41" s="10">
        <f>Solver!T160</f>
        <v>-2.338329326110459</v>
      </c>
      <c r="S41" s="10">
        <f>Solver!U160</f>
        <v>-2.5901394919954668</v>
      </c>
      <c r="T41" s="10">
        <f>Solver!V160</f>
        <v>-2.7840902217059642</v>
      </c>
      <c r="U41" s="10">
        <f>Solver!W160</f>
        <v>-2.9158489764341535</v>
      </c>
      <c r="V41" s="10" t="str">
        <f>Solver!X160</f>
        <v/>
      </c>
    </row>
    <row r="42" spans="2:22" x14ac:dyDescent="0.25">
      <c r="B42" s="10" t="str">
        <f>Solver!D161</f>
        <v/>
      </c>
      <c r="C42" s="10">
        <f>Solver!E161</f>
        <v>2.7492297137014345</v>
      </c>
      <c r="D42" s="10">
        <f>Solver!F161</f>
        <v>2.625</v>
      </c>
      <c r="E42" s="10">
        <f>Solver!G161</f>
        <v>2.4421321239804898</v>
      </c>
      <c r="F42" s="10">
        <f>Solver!H161</f>
        <v>2.2047110518131121</v>
      </c>
      <c r="G42" s="10">
        <f>Solver!I161</f>
        <v>1.9180403779235753</v>
      </c>
      <c r="H42" s="10">
        <f>Solver!J161</f>
        <v>1.5885238514575384</v>
      </c>
      <c r="I42" s="10">
        <f>Solver!K161</f>
        <v>1.2235223271065878</v>
      </c>
      <c r="J42" s="10">
        <f>Solver!L161</f>
        <v>0.83118933577786225</v>
      </c>
      <c r="K42" s="10">
        <f>Solver!M161</f>
        <v>0.420288948186888</v>
      </c>
      <c r="L42" s="10">
        <f>Solver!N161</f>
        <v>0</v>
      </c>
      <c r="M42" s="10">
        <f>Solver!O161</f>
        <v>-0.420288948186888</v>
      </c>
      <c r="N42" s="10">
        <f>Solver!P161</f>
        <v>-0.83118933577786103</v>
      </c>
      <c r="O42" s="10">
        <f>Solver!Q161</f>
        <v>-1.2235223271065889</v>
      </c>
      <c r="P42" s="10">
        <f>Solver!R161</f>
        <v>-1.5885238514575373</v>
      </c>
      <c r="Q42" s="10">
        <f>Solver!S161</f>
        <v>-1.9180403779235728</v>
      </c>
      <c r="R42" s="10">
        <f>Solver!T161</f>
        <v>-2.2047110518131108</v>
      </c>
      <c r="S42" s="10">
        <f>Solver!U161</f>
        <v>-2.4421321239804881</v>
      </c>
      <c r="T42" s="10">
        <f>Solver!V161</f>
        <v>-2.6249999999999982</v>
      </c>
      <c r="U42" s="10">
        <f>Solver!W161</f>
        <v>-2.7492297137014332</v>
      </c>
      <c r="V42" s="10" t="str">
        <f>Solver!X161</f>
        <v/>
      </c>
    </row>
    <row r="43" spans="2:22" x14ac:dyDescent="0.25">
      <c r="B43" s="10" t="str">
        <f>Solver!D162</f>
        <v/>
      </c>
      <c r="C43" s="10">
        <f>Solver!E162</f>
        <v>2.5211972021299713</v>
      </c>
      <c r="D43" s="10">
        <f>Solver!F162</f>
        <v>2.4072716159759584</v>
      </c>
      <c r="E43" s="10">
        <f>Solver!G162</f>
        <v>2.239571559817644</v>
      </c>
      <c r="F43" s="10">
        <f>Solver!H162</f>
        <v>2.0218431757936024</v>
      </c>
      <c r="G43" s="10">
        <f>Solver!I162</f>
        <v>1.7589501562176082</v>
      </c>
      <c r="H43" s="10">
        <f>Solver!J162</f>
        <v>1.4567650967293486</v>
      </c>
      <c r="I43" s="10">
        <f>Solver!K162</f>
        <v>1.1220383122120143</v>
      </c>
      <c r="J43" s="10">
        <f>Solver!L162</f>
        <v>0.7622470459123647</v>
      </c>
      <c r="K43" s="10">
        <f>Solver!M162</f>
        <v>0.38542844018235717</v>
      </c>
      <c r="L43" s="10">
        <f>Solver!N162</f>
        <v>0</v>
      </c>
      <c r="M43" s="10">
        <f>Solver!O162</f>
        <v>-0.38542844018235717</v>
      </c>
      <c r="N43" s="10">
        <f>Solver!P162</f>
        <v>-0.76224704591236347</v>
      </c>
      <c r="O43" s="10">
        <f>Solver!Q162</f>
        <v>-1.1220383122120154</v>
      </c>
      <c r="P43" s="10">
        <f>Solver!R162</f>
        <v>-1.4567650967293486</v>
      </c>
      <c r="Q43" s="10">
        <f>Solver!S162</f>
        <v>-1.7589501562176071</v>
      </c>
      <c r="R43" s="10">
        <f>Solver!T162</f>
        <v>-2.0218431757936002</v>
      </c>
      <c r="S43" s="10">
        <f>Solver!U162</f>
        <v>-2.2395715598176418</v>
      </c>
      <c r="T43" s="10">
        <f>Solver!V162</f>
        <v>-2.4072716159759566</v>
      </c>
      <c r="U43" s="10">
        <f>Solver!W162</f>
        <v>-2.5211972021299696</v>
      </c>
      <c r="V43" s="10" t="str">
        <f>Solver!X162</f>
        <v/>
      </c>
    </row>
    <row r="44" spans="2:22" x14ac:dyDescent="0.25">
      <c r="B44" s="10" t="str">
        <f>Solver!D163</f>
        <v/>
      </c>
      <c r="C44" s="10">
        <f>Solver!E163</f>
        <v>2.2368453112158893</v>
      </c>
      <c r="D44" s="10">
        <f>Solver!F163</f>
        <v>2.1357687619476153</v>
      </c>
      <c r="E44" s="10">
        <f>Solver!G163</f>
        <v>1.9869826677890716</v>
      </c>
      <c r="F44" s="10">
        <f>Solver!H163</f>
        <v>1.7938106642221396</v>
      </c>
      <c r="G44" s="10">
        <f>Solver!I163</f>
        <v>1.5605678945993788</v>
      </c>
      <c r="H44" s="10">
        <f>Solver!J163</f>
        <v>1.2924646169720853</v>
      </c>
      <c r="I44" s="10">
        <f>Solver!K163</f>
        <v>0.99548981553512439</v>
      </c>
      <c r="J44" s="10">
        <f>Solver!L163</f>
        <v>0.67627741661651275</v>
      </c>
      <c r="K44" s="10">
        <f>Solver!M163</f>
        <v>0.34195809772547664</v>
      </c>
      <c r="L44" s="10">
        <f>Solver!N163</f>
        <v>0</v>
      </c>
      <c r="M44" s="10">
        <f>Solver!O163</f>
        <v>-0.34195809772547664</v>
      </c>
      <c r="N44" s="10">
        <f>Solver!P163</f>
        <v>-0.67627741661651153</v>
      </c>
      <c r="O44" s="10">
        <f>Solver!Q163</f>
        <v>-0.9954898155351255</v>
      </c>
      <c r="P44" s="10">
        <f>Solver!R163</f>
        <v>-1.2924646169720853</v>
      </c>
      <c r="Q44" s="10">
        <f>Solver!S163</f>
        <v>-1.5605678945993771</v>
      </c>
      <c r="R44" s="10">
        <f>Solver!T163</f>
        <v>-1.7938106642221379</v>
      </c>
      <c r="S44" s="10">
        <f>Solver!U163</f>
        <v>-1.9869826677890698</v>
      </c>
      <c r="T44" s="10">
        <f>Solver!V163</f>
        <v>-2.1357687619476136</v>
      </c>
      <c r="U44" s="10">
        <f>Solver!W163</f>
        <v>-2.2368453112158888</v>
      </c>
      <c r="V44" s="10" t="str">
        <f>Solver!X163</f>
        <v/>
      </c>
    </row>
    <row r="45" spans="2:22" x14ac:dyDescent="0.25">
      <c r="B45" s="10" t="str">
        <f>Solver!D164</f>
        <v/>
      </c>
      <c r="C45" s="10">
        <f>Solver!E164</f>
        <v>1.9025259923248543</v>
      </c>
      <c r="D45" s="10">
        <f>Solver!F164</f>
        <v>1.8165563630290014</v>
      </c>
      <c r="E45" s="10">
        <f>Solver!G164</f>
        <v>1.690007866352111</v>
      </c>
      <c r="F45" s="10">
        <f>Solver!H164</f>
        <v>1.5257073865948467</v>
      </c>
      <c r="G45" s="10">
        <f>Solver!I164</f>
        <v>1.3273251249766174</v>
      </c>
      <c r="H45" s="10">
        <f>Solver!J164</f>
        <v>1.0992926134051539</v>
      </c>
      <c r="I45" s="10">
        <f>Solver!K164</f>
        <v>0.84670372137658023</v>
      </c>
      <c r="J45" s="10">
        <f>Solver!L164</f>
        <v>0.5752008673482375</v>
      </c>
      <c r="K45" s="10">
        <f>Solver!M164</f>
        <v>0.29084897643415553</v>
      </c>
      <c r="L45" s="10">
        <f>Solver!N164</f>
        <v>0</v>
      </c>
      <c r="M45" s="10">
        <f>Solver!O164</f>
        <v>-0.29084897643415553</v>
      </c>
      <c r="N45" s="10">
        <f>Solver!P164</f>
        <v>-0.5752008673482375</v>
      </c>
      <c r="O45" s="10">
        <f>Solver!Q164</f>
        <v>-0.84670372137658145</v>
      </c>
      <c r="P45" s="10">
        <f>Solver!R164</f>
        <v>-1.0992926134051528</v>
      </c>
      <c r="Q45" s="10">
        <f>Solver!S164</f>
        <v>-1.3273251249766156</v>
      </c>
      <c r="R45" s="10">
        <f>Solver!T164</f>
        <v>-1.5257073865948449</v>
      </c>
      <c r="S45" s="10">
        <f>Solver!U164</f>
        <v>-1.6900078663521099</v>
      </c>
      <c r="T45" s="10">
        <f>Solver!V164</f>
        <v>-1.8165563630290005</v>
      </c>
      <c r="U45" s="10">
        <f>Solver!W164</f>
        <v>-1.9025259923248532</v>
      </c>
      <c r="V45" s="10" t="str">
        <f>Solver!X164</f>
        <v/>
      </c>
    </row>
    <row r="46" spans="2:22" x14ac:dyDescent="0.25">
      <c r="B46" s="10" t="str">
        <f>Solver!D165</f>
        <v/>
      </c>
      <c r="C46" s="10">
        <f>Solver!E165</f>
        <v>1.5257073865948474</v>
      </c>
      <c r="D46" s="10">
        <f>Solver!F165</f>
        <v>1.4567650967293497</v>
      </c>
      <c r="E46" s="10">
        <f>Solver!G165</f>
        <v>1.3552810818347785</v>
      </c>
      <c r="F46" s="10">
        <f>Solver!H165</f>
        <v>1.2235223271065889</v>
      </c>
      <c r="G46" s="10">
        <f>Solver!I165</f>
        <v>1.0644321054006232</v>
      </c>
      <c r="H46" s="10">
        <f>Solver!J165</f>
        <v>0.8815642293811129</v>
      </c>
      <c r="I46" s="10">
        <f>Solver!K165</f>
        <v>0.67900366521826594</v>
      </c>
      <c r="J46" s="10">
        <f>Solver!L165</f>
        <v>0.46127528119422539</v>
      </c>
      <c r="K46" s="10">
        <f>Solver!M165</f>
        <v>0.23324276962276144</v>
      </c>
      <c r="L46" s="10">
        <f>Solver!N165</f>
        <v>0</v>
      </c>
      <c r="M46" s="10">
        <f>Solver!O165</f>
        <v>-0.23324276962276144</v>
      </c>
      <c r="N46" s="10">
        <f>Solver!P165</f>
        <v>-0.46127528119422484</v>
      </c>
      <c r="O46" s="10">
        <f>Solver!Q165</f>
        <v>-0.67900366521826649</v>
      </c>
      <c r="P46" s="10">
        <f>Solver!R165</f>
        <v>-0.88156422938111223</v>
      </c>
      <c r="Q46" s="10">
        <f>Solver!S165</f>
        <v>-1.0644321054006221</v>
      </c>
      <c r="R46" s="10">
        <f>Solver!T165</f>
        <v>-1.2235223271065878</v>
      </c>
      <c r="S46" s="10">
        <f>Solver!U165</f>
        <v>-1.3552810818347776</v>
      </c>
      <c r="T46" s="10">
        <f>Solver!V165</f>
        <v>-1.4567650967293493</v>
      </c>
      <c r="U46" s="10">
        <f>Solver!W165</f>
        <v>-1.5257073865948465</v>
      </c>
      <c r="V46" s="10" t="str">
        <f>Solver!X165</f>
        <v/>
      </c>
    </row>
    <row r="47" spans="2:22" x14ac:dyDescent="0.25">
      <c r="B47" s="10" t="str">
        <f>Solver!D166</f>
        <v/>
      </c>
      <c r="C47" s="10">
        <f>Solver!E166</f>
        <v>1.114806999003874</v>
      </c>
      <c r="D47" s="10">
        <f>Solver!F166</f>
        <v>1.0644321054006225</v>
      </c>
      <c r="E47" s="10">
        <f>Solver!G166</f>
        <v>0.99027955748382779</v>
      </c>
      <c r="F47" s="10">
        <f>Solver!H166</f>
        <v>0.89400580064055357</v>
      </c>
      <c r="G47" s="10">
        <f>Solver!I166</f>
        <v>0.77776143151108446</v>
      </c>
      <c r="H47" s="10">
        <f>Solver!J166</f>
        <v>0.6441431572137345</v>
      </c>
      <c r="I47" s="10">
        <f>Solver!K166</f>
        <v>0.49613578919875567</v>
      </c>
      <c r="J47" s="10">
        <f>Solver!L166</f>
        <v>0.33704556749279041</v>
      </c>
      <c r="K47" s="10">
        <f>Solver!M166</f>
        <v>0.17042630476006987</v>
      </c>
      <c r="L47" s="10">
        <f>Solver!N166</f>
        <v>0</v>
      </c>
      <c r="M47" s="10">
        <f>Solver!O166</f>
        <v>-0.17042630476006987</v>
      </c>
      <c r="N47" s="10">
        <f>Solver!P166</f>
        <v>-0.33704556749278985</v>
      </c>
      <c r="O47" s="10">
        <f>Solver!Q166</f>
        <v>-0.49613578919875623</v>
      </c>
      <c r="P47" s="10">
        <f>Solver!R166</f>
        <v>-0.6441431572137345</v>
      </c>
      <c r="Q47" s="10">
        <f>Solver!S166</f>
        <v>-0.77776143151108357</v>
      </c>
      <c r="R47" s="10">
        <f>Solver!T166</f>
        <v>-0.89400580064055268</v>
      </c>
      <c r="S47" s="10">
        <f>Solver!U166</f>
        <v>-0.9902795574838269</v>
      </c>
      <c r="T47" s="10">
        <f>Solver!V166</f>
        <v>-1.0644321054006221</v>
      </c>
      <c r="U47" s="10">
        <f>Solver!W166</f>
        <v>-1.1148069990038736</v>
      </c>
      <c r="V47" s="10" t="str">
        <f>Solver!X166</f>
        <v/>
      </c>
    </row>
    <row r="48" spans="2:22" x14ac:dyDescent="0.25">
      <c r="B48" s="10" t="str">
        <f>Solver!D167</f>
        <v/>
      </c>
      <c r="C48" s="10">
        <f>Solver!E167</f>
        <v>0.67900366521826738</v>
      </c>
      <c r="D48" s="10">
        <f>Solver!F167</f>
        <v>0.64832145975835254</v>
      </c>
      <c r="E48" s="10">
        <f>Solver!G167</f>
        <v>0.60315682420639916</v>
      </c>
      <c r="F48" s="10">
        <f>Solver!H167</f>
        <v>0.54451866188832376</v>
      </c>
      <c r="G48" s="10">
        <f>Solver!I167</f>
        <v>0.47371685245366635</v>
      </c>
      <c r="H48" s="10">
        <f>Solver!J167</f>
        <v>0.39233299132872845</v>
      </c>
      <c r="I48" s="10">
        <f>Solver!K167</f>
        <v>0.30218505948825874</v>
      </c>
      <c r="J48" s="10">
        <f>Solver!L167</f>
        <v>0.20528681276460128</v>
      </c>
      <c r="K48" s="10">
        <f>Solver!M167</f>
        <v>0.10380279787002897</v>
      </c>
      <c r="L48" s="10">
        <f>Solver!N167</f>
        <v>0</v>
      </c>
      <c r="M48" s="10">
        <f>Solver!O167</f>
        <v>-0.10380279787002897</v>
      </c>
      <c r="N48" s="10">
        <f>Solver!P167</f>
        <v>-0.20528681276460128</v>
      </c>
      <c r="O48" s="10">
        <f>Solver!Q167</f>
        <v>-0.30218505948825902</v>
      </c>
      <c r="P48" s="10">
        <f>Solver!R167</f>
        <v>-0.39233299132872784</v>
      </c>
      <c r="Q48" s="10">
        <f>Solver!S167</f>
        <v>-0.47371685245366579</v>
      </c>
      <c r="R48" s="10">
        <f>Solver!T167</f>
        <v>-0.54451866188832343</v>
      </c>
      <c r="S48" s="10">
        <f>Solver!U167</f>
        <v>-0.60315682420639882</v>
      </c>
      <c r="T48" s="10">
        <f>Solver!V167</f>
        <v>-0.64832145975835209</v>
      </c>
      <c r="U48" s="10">
        <f>Solver!W167</f>
        <v>-0.67900366521826705</v>
      </c>
      <c r="V48" s="10" t="str">
        <f>Solver!X167</f>
        <v/>
      </c>
    </row>
    <row r="49" spans="2:22" x14ac:dyDescent="0.25">
      <c r="B49" s="10" t="str">
        <f>Solver!D168</f>
        <v/>
      </c>
      <c r="C49" s="10" t="str">
        <f>Solver!E168</f>
        <v/>
      </c>
      <c r="D49" s="10" t="str">
        <f>Solver!F168</f>
        <v/>
      </c>
      <c r="E49" s="10" t="str">
        <f>Solver!G168</f>
        <v/>
      </c>
      <c r="F49" s="10" t="str">
        <f>Solver!H168</f>
        <v/>
      </c>
      <c r="G49" s="10" t="str">
        <f>Solver!I168</f>
        <v/>
      </c>
      <c r="H49" s="10" t="str">
        <f>Solver!J168</f>
        <v/>
      </c>
      <c r="I49" s="10" t="str">
        <f>Solver!K168</f>
        <v/>
      </c>
      <c r="J49" s="10" t="str">
        <f>Solver!L168</f>
        <v/>
      </c>
      <c r="K49" s="10" t="str">
        <f>Solver!M168</f>
        <v/>
      </c>
      <c r="L49" s="10" t="str">
        <f>Solver!N168</f>
        <v/>
      </c>
      <c r="M49" s="10" t="str">
        <f>Solver!O168</f>
        <v/>
      </c>
      <c r="N49" s="10" t="str">
        <f>Solver!P168</f>
        <v/>
      </c>
      <c r="O49" s="10" t="str">
        <f>Solver!Q168</f>
        <v/>
      </c>
      <c r="P49" s="10" t="str">
        <f>Solver!R168</f>
        <v/>
      </c>
      <c r="Q49" s="10" t="str">
        <f>Solver!S168</f>
        <v/>
      </c>
      <c r="R49" s="10" t="str">
        <f>Solver!T168</f>
        <v/>
      </c>
      <c r="S49" s="10" t="str">
        <f>Solver!U168</f>
        <v/>
      </c>
      <c r="T49" s="10" t="str">
        <f>Solver!V168</f>
        <v/>
      </c>
      <c r="U49" s="10" t="str">
        <f>Solver!W168</f>
        <v/>
      </c>
      <c r="V49" s="10" t="str">
        <f>Solver!X168</f>
        <v/>
      </c>
    </row>
  </sheetData>
  <conditionalFormatting sqref="B5:V25">
    <cfRule type="colorScale" priority="1">
      <colorScale>
        <cfvo type="num" val="-3.2"/>
        <cfvo type="num" val="0"/>
        <cfvo type="num" val="3.2"/>
        <color rgb="FF2166AC"/>
        <color rgb="FFFFFFFF"/>
        <color rgb="FFB2182B"/>
      </colorScale>
    </cfRule>
  </conditionalFormatting>
  <conditionalFormatting sqref="B29:V49">
    <cfRule type="colorScale" priority="2">
      <colorScale>
        <cfvo type="num" val="-3.2"/>
        <cfvo type="num" val="0"/>
        <cfvo type="num" val="3.2"/>
        <color rgb="FF2166AC"/>
        <color rgb="FFFFFFFF"/>
        <color rgb="FFB2182B"/>
      </colorScale>
    </cfRule>
  </conditionalFormatting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23</vt:i4>
      </vt:variant>
    </vt:vector>
  </HeadingPairs>
  <TitlesOfParts>
    <vt:vector size="28" baseType="lpstr">
      <vt:lpstr>Inputs</vt:lpstr>
      <vt:lpstr>Solver</vt:lpstr>
      <vt:lpstr>Analytical</vt:lpstr>
      <vt:lpstr>Error</vt:lpstr>
      <vt:lpstr>Plots</vt:lpstr>
      <vt:lpstr>DA</vt:lpstr>
      <vt:lpstr>DB</vt:lpstr>
      <vt:lpstr>dx</vt:lpstr>
      <vt:lpstr>dx_2</vt:lpstr>
      <vt:lpstr>dx_3</vt:lpstr>
      <vt:lpstr>err_2</vt:lpstr>
      <vt:lpstr>err_3</vt:lpstr>
      <vt:lpstr>errA</vt:lpstr>
      <vt:lpstr>errB</vt:lpstr>
      <vt:lpstr>ia</vt:lpstr>
      <vt:lpstr>ib</vt:lpstr>
      <vt:lpstr>ja</vt:lpstr>
      <vt:lpstr>jb</vt:lpstr>
      <vt:lpstr>L</vt:lpstr>
      <vt:lpstr>N</vt:lpstr>
      <vt:lpstr>N_2</vt:lpstr>
      <vt:lpstr>N_3</vt:lpstr>
      <vt:lpstr>rho</vt:lpstr>
      <vt:lpstr>U0</vt:lpstr>
      <vt:lpstr>uA</vt:lpstr>
      <vt:lpstr>uB</vt:lpstr>
      <vt:lpstr>vA</vt:lpstr>
      <vt:lpstr>vB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Truong, Nhan (truongna)</cp:lastModifiedBy>
  <dcterms:created xsi:type="dcterms:W3CDTF">2026-10-05T02:35:58Z</dcterms:created>
  <dcterms:modified xsi:type="dcterms:W3CDTF">2026-10-05T02:36:02Z</dcterms:modified>
</cp:coreProperties>
</file>